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e05d1c50ad1d7f52/Documents/"/>
    </mc:Choice>
  </mc:AlternateContent>
  <xr:revisionPtr revIDLastSave="850" documentId="13_ncr:1_{B4EC3920-8215-407C-A378-A78D4BF850B4}" xr6:coauthVersionLast="47" xr6:coauthVersionMax="47" xr10:uidLastSave="{9634EAF9-A143-4D0C-BDF1-08432A9F7AAC}"/>
  <bookViews>
    <workbookView xWindow="-108" yWindow="-108" windowWidth="23256" windowHeight="12456" tabRatio="619" firstSheet="2" activeTab="2" xr2:uid="{00000000-000D-0000-FFFF-FFFF00000000}"/>
  </bookViews>
  <sheets>
    <sheet name="pivot_table" sheetId="3" r:id="rId1"/>
    <sheet name="Sales_Data" sheetId="1" r:id="rId2"/>
    <sheet name="Dashboard" sheetId="2" r:id="rId3"/>
  </sheets>
  <definedNames>
    <definedName name="Slicer_Category">#N/A</definedName>
    <definedName name="Slicer_Customer_Type">#N/A</definedName>
    <definedName name="Slicer_Region">#N/A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alcChain>
</file>

<file path=xl/sharedStrings.xml><?xml version="1.0" encoding="utf-8"?>
<sst xmlns="http://schemas.openxmlformats.org/spreadsheetml/2006/main" count="8065" uniqueCount="1052">
  <si>
    <t>Row Labels</t>
  </si>
  <si>
    <t>Sum of Revenue</t>
  </si>
  <si>
    <t>Sum of Profit</t>
  </si>
  <si>
    <t>East</t>
  </si>
  <si>
    <t>Electronics</t>
  </si>
  <si>
    <t>2024</t>
  </si>
  <si>
    <t>Cabinet</t>
  </si>
  <si>
    <t>Aman</t>
  </si>
  <si>
    <t>Corporate</t>
  </si>
  <si>
    <t>Delhi</t>
  </si>
  <si>
    <t>North</t>
  </si>
  <si>
    <t>Furniture</t>
  </si>
  <si>
    <t>2025</t>
  </si>
  <si>
    <t>Chair</t>
  </si>
  <si>
    <t>Arjun</t>
  </si>
  <si>
    <t>Retail</t>
  </si>
  <si>
    <t>Gujarat</t>
  </si>
  <si>
    <t>South</t>
  </si>
  <si>
    <t>Office Supplies</t>
  </si>
  <si>
    <t>Desk</t>
  </si>
  <si>
    <t>Kiran</t>
  </si>
  <si>
    <t>Karnataka</t>
  </si>
  <si>
    <t>West</t>
  </si>
  <si>
    <t>Laptop</t>
  </si>
  <si>
    <t>Neha</t>
  </si>
  <si>
    <t>Maharashtra</t>
  </si>
  <si>
    <t>Paper</t>
  </si>
  <si>
    <t>Priya</t>
  </si>
  <si>
    <t>Tamil Nadu</t>
  </si>
  <si>
    <t>Pen</t>
  </si>
  <si>
    <t>Rahul</t>
  </si>
  <si>
    <t>UP</t>
  </si>
  <si>
    <t>Phone</t>
  </si>
  <si>
    <t>Sneha</t>
  </si>
  <si>
    <t>Printer Ink</t>
  </si>
  <si>
    <t>Vikas</t>
  </si>
  <si>
    <t>Tablet</t>
  </si>
  <si>
    <t>Order_ID</t>
  </si>
  <si>
    <t>Order_Date</t>
  </si>
  <si>
    <t>Region</t>
  </si>
  <si>
    <t>State</t>
  </si>
  <si>
    <t>Category</t>
  </si>
  <si>
    <t>Sub_Category</t>
  </si>
  <si>
    <t>Product</t>
  </si>
  <si>
    <t>Salesperson</t>
  </si>
  <si>
    <t>Customer_Type</t>
  </si>
  <si>
    <t>Units_Sold</t>
  </si>
  <si>
    <t>Unit_Price</t>
  </si>
  <si>
    <t>Revenue</t>
  </si>
  <si>
    <t>Cost</t>
  </si>
  <si>
    <t>Profit</t>
  </si>
  <si>
    <t>Year</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</si>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</sst>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44">
    <dxf>
      <numFmt numFmtId="165" formatCode="&quot;₹&quot;\ #,##0"/>
    </dxf>
    <dxf>
      <numFmt numFmtId="3" formatCode="#,##0"/>
    </dxf>
    <dxf>
      <numFmt numFmtId="165" formatCode="&quot;₹&quot;\ #,##0"/>
    </dxf>
    <dxf>
      <numFmt numFmtId="165" formatCode="&quot;₹&quot;\ #,##0"/>
    </dxf>
    <dxf>
      <numFmt numFmtId="166" formatCode="&quot;₹&quot;\ #,##0.00"/>
    </dxf>
    <dxf>
      <numFmt numFmtId="165" formatCode="&quot;₹&quot;\ #,##0"/>
    </dxf>
    <dxf>
      <numFmt numFmtId="165" formatCode="&quot;₹&quot;\ #,##0"/>
    </dxf>
    <dxf>
      <numFmt numFmtId="3" formatCode="#,##0"/>
    </dxf>
    <dxf>
      <numFmt numFmtId="165" formatCode="&quot;₹&quot;\ #,##0"/>
    </dxf>
    <dxf>
      <numFmt numFmtId="165" formatCode="&quot;₹&quot;\ #,##0"/>
    </dxf>
    <dxf>
      <numFmt numFmtId="166" formatCode="&quot;₹&quot;\ #,##0.00"/>
    </dxf>
    <dxf>
      <numFmt numFmtId="165" formatCode="&quot;₹&quot;\ #,##0"/>
    </dxf>
    <dxf>
      <numFmt numFmtId="165" formatCode="&quot;₹&quot;\ #,##0"/>
    </dxf>
    <dxf>
      <numFmt numFmtId="3" formatCode="#,##0"/>
    </dxf>
    <dxf>
      <numFmt numFmtId="165" formatCode="&quot;₹&quot;\ #,##0"/>
    </dxf>
    <dxf>
      <numFmt numFmtId="165" formatCode="&quot;₹&quot;\ #,##0"/>
    </dxf>
    <dxf>
      <numFmt numFmtId="166" formatCode="&quot;₹&quot;\ #,##0.00"/>
    </dxf>
    <dxf>
      <numFmt numFmtId="165" formatCode="&quot;₹&quot;\ #,##0"/>
    </dxf>
    <dxf>
      <numFmt numFmtId="165" formatCode="&quot;₹&quot;\ #,##0"/>
    </dxf>
    <dxf>
      <numFmt numFmtId="3" formatCode="#,##0"/>
    </dxf>
    <dxf>
      <numFmt numFmtId="165" formatCode="&quot;₹&quot;\ #,##0"/>
    </dxf>
    <dxf>
      <numFmt numFmtId="165" formatCode="&quot;₹&quot;\ #,##0"/>
    </dxf>
    <dxf>
      <numFmt numFmtId="166" formatCode="&quot;₹&quot;\ #,##0.00"/>
    </dxf>
    <dxf>
      <numFmt numFmtId="165" formatCode="&quot;₹&quot;\ #,##0"/>
    </dxf>
    <dxf>
      <numFmt numFmtId="165" formatCode="&quot;₹&quot;\ #,##0"/>
    </dxf>
    <dxf>
      <numFmt numFmtId="3" formatCode="#,##0"/>
    </dxf>
    <dxf>
      <numFmt numFmtId="165" formatCode="&quot;₹&quot;\ #,##0"/>
    </dxf>
    <dxf>
      <numFmt numFmtId="165" formatCode="&quot;₹&quot;\ #,##0"/>
    </dxf>
    <dxf>
      <numFmt numFmtId="166" formatCode="&quot;₹&quot;\ #,##0.00"/>
    </dxf>
    <dxf>
      <numFmt numFmtId="165" formatCode="&quot;₹&quot;\ #,##0"/>
    </dxf>
    <dxf>
      <numFmt numFmtId="165" formatCode="&quot;₹&quot;\ #,##0"/>
    </dxf>
    <dxf>
      <numFmt numFmtId="3" formatCode="#,##0"/>
    </dxf>
    <dxf>
      <numFmt numFmtId="165" formatCode="&quot;₹&quot;\ #,##0"/>
    </dxf>
    <dxf>
      <numFmt numFmtId="165" formatCode="&quot;₹&quot;\ #,##0"/>
    </dxf>
    <dxf>
      <numFmt numFmtId="166" formatCode="&quot;₹&quot;\ #,##0.00"/>
    </dxf>
    <dxf>
      <numFmt numFmtId="165" formatCode="&quot;₹&quot;\ #,##0"/>
    </dxf>
    <dxf>
      <numFmt numFmtId="0" formatCode="General"/>
    </dxf>
    <dxf>
      <numFmt numFmtId="164" formatCode="yyyy\-mm\-dd"/>
    </dxf>
    <dxf>
      <numFmt numFmtId="165" formatCode="&quot;₹&quot;\ #,##0"/>
    </dxf>
    <dxf>
      <numFmt numFmtId="3" formatCode="#,##0"/>
    </dxf>
    <dxf>
      <numFmt numFmtId="165" formatCode="&quot;₹&quot;\ #,##0"/>
    </dxf>
    <dxf>
      <numFmt numFmtId="165" formatCode="&quot;₹&quot;\ #,##0"/>
    </dxf>
    <dxf>
      <numFmt numFmtId="166" formatCode="&quot;₹&quot;\ #,##0.00"/>
    </dxf>
    <dxf>
      <numFmt numFmtId="165" formatCode="&quot;₹&quot;\ #,##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[Excel_Sales_Dashboard_Dataset.xlsx]pivot_table!PivotTable1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Narrow" panose="020B0606020202030204" pitchFamily="34" charset="0"/>
                <a:ea typeface="+mn-ea"/>
                <a:cs typeface="+mn-cs"/>
              </a:defRPr>
            </a:pPr>
            <a:r>
              <a:rPr lang="en-US" b="1">
                <a:solidFill>
                  <a:schemeClr val="accent2">
                    <a:lumMod val="75000"/>
                  </a:schemeClr>
                </a:solidFill>
                <a:latin typeface="Arial Narrow" panose="020B0606020202030204" pitchFamily="34" charset="0"/>
              </a:rPr>
              <a:t>Sales By Region</a:t>
            </a:r>
          </a:p>
        </c:rich>
      </c:tx>
      <c:layout>
        <c:manualLayout>
          <c:xMode val="edge"/>
          <c:yMode val="edge"/>
          <c:x val="0.35596002802281296"/>
          <c:y val="4.74495848161328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Narrow" panose="020B060602020203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pivot_table!$A$4:$A$7</c:f>
              <c:strCache>
                <c:ptCount val="4"/>
                <c:pt idx="0">
                  <c:v>East</c:v>
                </c:pt>
                <c:pt idx="1">
                  <c:v>North</c:v>
                </c:pt>
                <c:pt idx="2">
                  <c:v>South</c:v>
                </c:pt>
                <c:pt idx="3">
                  <c:v>West</c:v>
                </c:pt>
              </c:strCache>
            </c:strRef>
          </c:cat>
          <c:val>
            <c:numRef>
              <c:f>pivot_table!$B$4:$B$7</c:f>
              <c:numCache>
                <c:formatCode>"₹"\ #,##0</c:formatCode>
                <c:ptCount val="4"/>
                <c:pt idx="0">
                  <c:v>7508381</c:v>
                </c:pt>
                <c:pt idx="1">
                  <c:v>6990416</c:v>
                </c:pt>
                <c:pt idx="2">
                  <c:v>6877222</c:v>
                </c:pt>
                <c:pt idx="3">
                  <c:v>7198602</c:v>
                </c:pt>
              </c:numCache>
            </c:numRef>
          </c:val>
          <c:extLst>
            <c:ext xmlns:c16="http://schemas.microsoft.com/office/drawing/2014/chart" uri="{C3380CC4-5D6E-409C-BE32-E72D297353CC}">
              <c16:uniqueId val="{00000000-882D-4088-8173-7A70F600C1DF}"/>
            </c:ext>
          </c:extLst>
        </c:ser>
        <c:dLbls>
          <c:dLblPos val="outEnd"/>
          <c:showLegendKey val="0"/>
          <c:showVal val="1"/>
          <c:showCatName val="0"/>
          <c:showSerName val="0"/>
          <c:showPercent val="0"/>
          <c:showBubbleSize val="0"/>
        </c:dLbls>
        <c:gapWidth val="219"/>
        <c:overlap val="-27"/>
        <c:axId val="1197252959"/>
        <c:axId val="1197250079"/>
      </c:barChart>
      <c:catAx>
        <c:axId val="119725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197250079"/>
        <c:crosses val="autoZero"/>
        <c:auto val="1"/>
        <c:lblAlgn val="ctr"/>
        <c:lblOffset val="100"/>
        <c:noMultiLvlLbl val="0"/>
      </c:catAx>
      <c:valAx>
        <c:axId val="1197250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9725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[Excel_Sales_Dashboard_Dataset.xlsx]pivot_table!PivotTable2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Narrow" panose="020B0606020202030204" pitchFamily="34" charset="0"/>
                <a:ea typeface="+mn-ea"/>
                <a:cs typeface="+mn-cs"/>
              </a:defRPr>
            </a:pPr>
            <a:r>
              <a:rPr lang="en-US" b="1">
                <a:solidFill>
                  <a:schemeClr val="accent6">
                    <a:lumMod val="75000"/>
                  </a:schemeClr>
                </a:solidFill>
                <a:latin typeface="Arial Narrow" panose="020B0606020202030204" pitchFamily="34" charset="0"/>
              </a:rPr>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Narrow" panose="020B0606020202030204" pitchFamily="34" charset="0"/>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25400">
            <a:solidFill>
              <a:schemeClr val="lt1"/>
            </a:solidFill>
          </a:ln>
          <a:effectLst/>
          <a:sp3d contourW="25400">
            <a:contourClr>
              <a:schemeClr val="lt1"/>
            </a:contourClr>
          </a:sp3d>
        </c:spPr>
      </c:pivotFmt>
      <c:pivotFmt>
        <c:idx val="3"/>
        <c:spPr>
          <a:solidFill>
            <a:schemeClr val="accent6"/>
          </a:solidFill>
          <a:ln w="25400">
            <a:solidFill>
              <a:schemeClr val="lt1"/>
            </a:solidFill>
          </a:ln>
          <a:effectLst/>
          <a:sp3d contourW="25400">
            <a:contourClr>
              <a:schemeClr val="lt1"/>
            </a:contourClr>
          </a:sp3d>
        </c:spPr>
      </c:pivotFmt>
      <c:pivotFmt>
        <c:idx val="4"/>
        <c:spPr>
          <a:solidFill>
            <a:schemeClr val="accent6"/>
          </a:solidFill>
          <a:ln w="25400">
            <a:solidFill>
              <a:schemeClr val="lt1"/>
            </a:solidFill>
          </a:ln>
          <a:effectLst/>
          <a:sp3d contourW="25400">
            <a:contourClr>
              <a:schemeClr val="lt1"/>
            </a:contourClr>
          </a:sp3d>
        </c:spPr>
      </c:pivotFmt>
      <c:pivotFmt>
        <c:idx val="5"/>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pivotFmt>
      <c:pivotFmt>
        <c:idx val="8"/>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758621415638553"/>
          <c:y val="0.26115765778388023"/>
          <c:w val="0.48456777127458001"/>
          <c:h val="0.61445811266474248"/>
        </c:manualLayout>
      </c:layout>
      <c:pie3DChart>
        <c:varyColors val="1"/>
        <c:ser>
          <c:idx val="0"/>
          <c:order val="0"/>
          <c:tx>
            <c:strRef>
              <c:f>pivot_table!$F$3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D030-46AB-8654-67446C5BCBCA}"/>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D030-46AB-8654-67446C5BCBCA}"/>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D030-46AB-8654-67446C5BCBC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pivot_table!$E$4:$E$6</c:f>
              <c:strCache>
                <c:ptCount val="3"/>
                <c:pt idx="0">
                  <c:v>Electronics</c:v>
                </c:pt>
                <c:pt idx="1">
                  <c:v>Furniture</c:v>
                </c:pt>
                <c:pt idx="2">
                  <c:v>Office Supplies</c:v>
                </c:pt>
              </c:strCache>
            </c:strRef>
          </c:cat>
          <c:val>
            <c:numRef>
              <c:f>pivot_table!$F$4:$F$6</c:f>
              <c:numCache>
                <c:formatCode>"₹"\ #,##0</c:formatCode>
                <c:ptCount val="3"/>
                <c:pt idx="0">
                  <c:v>10593860</c:v>
                </c:pt>
                <c:pt idx="1">
                  <c:v>9708373</c:v>
                </c:pt>
                <c:pt idx="2">
                  <c:v>8272388</c:v>
                </c:pt>
              </c:numCache>
            </c:numRef>
          </c:val>
          <c:extLst>
            <c:ext xmlns:c16="http://schemas.microsoft.com/office/drawing/2014/chart" uri="{C3380CC4-5D6E-409C-BE32-E72D297353CC}">
              <c16:uniqueId val="{00000006-D030-46AB-8654-67446C5BCBCA}"/>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2459449367992179"/>
          <c:y val="0.34629163021289006"/>
          <c:w val="0.24053800283332785"/>
          <c:h val="0.359713035870516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[Excel_Sales_Dashboard_Dataset.xlsx]pivot_table!PivotTable7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Narrow" panose="020B0606020202030204" pitchFamily="34" charset="0"/>
                <a:ea typeface="+mn-ea"/>
                <a:cs typeface="+mn-cs"/>
              </a:defRPr>
            </a:pPr>
            <a:r>
              <a:rPr lang="en-US">
                <a:latin typeface="Arial Narrow" panose="020B0606020202030204" pitchFamily="34" charset="0"/>
              </a:rPr>
              <a:t>Revenue</a:t>
            </a:r>
            <a:r>
              <a:rPr lang="en-US" baseline="0">
                <a:latin typeface="Arial Narrow" panose="020B0606020202030204" pitchFamily="34" charset="0"/>
              </a:rPr>
              <a:t> By Category</a:t>
            </a:r>
            <a:endParaRPr lang="en-US">
              <a:latin typeface="Arial Narrow" panose="020B0606020202030204" pitchFamily="34" charset="0"/>
            </a:endParaRPr>
          </a:p>
        </c:rich>
      </c:tx>
      <c:layout>
        <c:manualLayout>
          <c:xMode val="edge"/>
          <c:yMode val="edge"/>
          <c:x val="0.11873200678974957"/>
          <c:y val="7.08441451920782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Narrow" panose="020B0606020202030204"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2336705775025986"/>
          <c:y val="0.15109609878310667"/>
          <c:w val="0.42115759103313077"/>
          <c:h val="0.71313659321996514"/>
        </c:manualLayout>
      </c:layout>
      <c:doughnutChart>
        <c:varyColors val="1"/>
        <c:ser>
          <c:idx val="0"/>
          <c:order val="0"/>
          <c:tx>
            <c:strRef>
              <c:f>pivot_table!$X$3</c:f>
              <c:strCache>
                <c:ptCount val="1"/>
                <c:pt idx="0">
                  <c:v>Total</c:v>
                </c:pt>
              </c:strCache>
            </c:strRef>
          </c:tx>
          <c:dPt>
            <c:idx val="0"/>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6FE-4059-A1C5-AFB96753FE38}"/>
              </c:ext>
            </c:extLst>
          </c:dPt>
          <c:dPt>
            <c:idx val="1"/>
            <c:bubble3D val="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6FE-4059-A1C5-AFB96753FE3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pivot_table!$W$4:$W$5</c:f>
              <c:strCache>
                <c:ptCount val="2"/>
                <c:pt idx="0">
                  <c:v>Corporate</c:v>
                </c:pt>
                <c:pt idx="1">
                  <c:v>Retail</c:v>
                </c:pt>
              </c:strCache>
            </c:strRef>
          </c:cat>
          <c:val>
            <c:numRef>
              <c:f>pivot_table!$X$4:$X$5</c:f>
              <c:numCache>
                <c:formatCode>"₹"\ #,##0</c:formatCode>
                <c:ptCount val="2"/>
                <c:pt idx="0">
                  <c:v>13362931</c:v>
                </c:pt>
                <c:pt idx="1">
                  <c:v>15211690</c:v>
                </c:pt>
              </c:numCache>
            </c:numRef>
          </c:val>
          <c:extLst>
            <c:ext xmlns:c16="http://schemas.microsoft.com/office/drawing/2014/chart" uri="{C3380CC4-5D6E-409C-BE32-E72D297353CC}">
              <c16:uniqueId val="{00000004-66FE-4059-A1C5-AFB96753FE3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[Excel_Sales_Dashboard_Dataset.xlsx]pivot_table!PivotTable4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C00000"/>
                </a:solidFill>
                <a:latin typeface="Arial Narrow" panose="020B0606020202030204" pitchFamily="34" charset="0"/>
              </a:rPr>
              <a:t>Total Sales by Product</a:t>
            </a:r>
          </a:p>
        </c:rich>
      </c:tx>
      <c:layout>
        <c:manualLayout>
          <c:xMode val="edge"/>
          <c:yMode val="edge"/>
          <c:x val="0.34846580781986775"/>
          <c:y val="3.33333333333333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pivot_table!$L$3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pivot_table!$K$4:$K$12</c:f>
              <c:strCache>
                <c:ptCount val="9"/>
                <c:pt idx="0">
                  <c:v>Cabinet</c:v>
                </c:pt>
                <c:pt idx="1">
                  <c:v>Chair</c:v>
                </c:pt>
                <c:pt idx="2">
                  <c:v>Desk</c:v>
                </c:pt>
                <c:pt idx="3">
                  <c:v>Laptop</c:v>
                </c:pt>
                <c:pt idx="4">
                  <c:v>Paper</c:v>
                </c:pt>
                <c:pt idx="5">
                  <c:v>Pen</c:v>
                </c:pt>
                <c:pt idx="6">
                  <c:v>Phone</c:v>
                </c:pt>
                <c:pt idx="7">
                  <c:v>Printer Ink</c:v>
                </c:pt>
                <c:pt idx="8">
                  <c:v>Tablet</c:v>
                </c:pt>
              </c:strCache>
            </c:strRef>
          </c:cat>
          <c:val>
            <c:numRef>
              <c:f>pivot_table!$L$4:$L$12</c:f>
              <c:numCache>
                <c:formatCode>"₹"\ #,##0</c:formatCode>
                <c:ptCount val="9"/>
                <c:pt idx="0">
                  <c:v>3329359</c:v>
                </c:pt>
                <c:pt idx="1">
                  <c:v>2618254</c:v>
                </c:pt>
                <c:pt idx="2">
                  <c:v>3760760</c:v>
                </c:pt>
                <c:pt idx="3">
                  <c:v>3742314</c:v>
                </c:pt>
                <c:pt idx="4">
                  <c:v>3192584</c:v>
                </c:pt>
                <c:pt idx="5">
                  <c:v>2464516</c:v>
                </c:pt>
                <c:pt idx="6">
                  <c:v>3143205</c:v>
                </c:pt>
                <c:pt idx="7">
                  <c:v>2615288</c:v>
                </c:pt>
                <c:pt idx="8">
                  <c:v>3708341</c:v>
                </c:pt>
              </c:numCache>
            </c:numRef>
          </c:val>
          <c:extLst>
            <c:ext xmlns:c16="http://schemas.microsoft.com/office/drawing/2014/chart" uri="{C3380CC4-5D6E-409C-BE32-E72D297353CC}">
              <c16:uniqueId val="{00000000-F279-4606-A4F4-A2D68E22CF01}"/>
            </c:ext>
          </c:extLst>
        </c:ser>
        <c:dLbls>
          <c:dLblPos val="outEnd"/>
          <c:showLegendKey val="0"/>
          <c:showVal val="1"/>
          <c:showCatName val="0"/>
          <c:showSerName val="0"/>
          <c:showPercent val="0"/>
          <c:showBubbleSize val="0"/>
        </c:dLbls>
        <c:gapWidth val="50"/>
        <c:axId val="1227236479"/>
        <c:axId val="1227237919"/>
      </c:barChart>
      <c:catAx>
        <c:axId val="122723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227237919"/>
        <c:crosses val="autoZero"/>
        <c:auto val="1"/>
        <c:lblAlgn val="ctr"/>
        <c:lblOffset val="100"/>
        <c:noMultiLvlLbl val="0"/>
      </c:catAx>
      <c:valAx>
        <c:axId val="1227237919"/>
        <c:scaling>
          <c:orientation val="minMax"/>
        </c:scaling>
        <c:delete val="1"/>
        <c:axPos val="b"/>
        <c:numFmt formatCode="&quot;₹&quot;\ #,##0" sourceLinked="1"/>
        <c:majorTickMark val="none"/>
        <c:minorTickMark val="none"/>
        <c:tickLblPos val="nextTo"/>
        <c:crossAx val="1227236479"/>
        <c:crosses val="autoZero"/>
        <c:crossBetween val="between"/>
        <c:majorUnit val="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[Excel_Sales_Dashboard_Dataset.xlsx]pivot_table!PivotTable8</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Place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pivot_table!$AB$3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pivot_table!$AA$4:$AA$9</c:f>
              <c:strCache>
                <c:ptCount val="6"/>
                <c:pt idx="0">
                  <c:v>Delhi</c:v>
                </c:pt>
                <c:pt idx="1">
                  <c:v>Gujarat</c:v>
                </c:pt>
                <c:pt idx="2">
                  <c:v>Karnataka</c:v>
                </c:pt>
                <c:pt idx="3">
                  <c:v>Maharashtra</c:v>
                </c:pt>
                <c:pt idx="4">
                  <c:v>Tamil Nadu</c:v>
                </c:pt>
                <c:pt idx="5">
                  <c:v>UP</c:v>
                </c:pt>
              </c:strCache>
            </c:strRef>
          </c:cat>
          <c:val>
            <c:numRef>
              <c:f>pivot_table!$AB$4:$AB$9</c:f>
              <c:numCache>
                <c:formatCode>"₹"\ #,##0</c:formatCode>
                <c:ptCount val="6"/>
                <c:pt idx="0">
                  <c:v>5284851</c:v>
                </c:pt>
                <c:pt idx="1">
                  <c:v>5524143</c:v>
                </c:pt>
                <c:pt idx="2">
                  <c:v>4165802</c:v>
                </c:pt>
                <c:pt idx="3">
                  <c:v>4834553</c:v>
                </c:pt>
                <c:pt idx="4">
                  <c:v>3701332</c:v>
                </c:pt>
                <c:pt idx="5">
                  <c:v>5063940</c:v>
                </c:pt>
              </c:numCache>
            </c:numRef>
          </c:val>
          <c:smooth val="0"/>
          <c:extLst>
            <c:ext xmlns:c16="http://schemas.microsoft.com/office/drawing/2014/chart" uri="{C3380CC4-5D6E-409C-BE32-E72D297353CC}">
              <c16:uniqueId val="{00000000-7E91-4F41-88AE-7F449ED041FF}"/>
            </c:ext>
          </c:extLst>
        </c:ser>
        <c:dLbls>
          <c:showLegendKey val="0"/>
          <c:showVal val="0"/>
          <c:showCatName val="0"/>
          <c:showSerName val="0"/>
          <c:showPercent val="0"/>
          <c:showBubbleSize val="0"/>
        </c:dLbls>
        <c:marker val="1"/>
        <c:smooth val="0"/>
        <c:axId val="1176271487"/>
        <c:axId val="1176272927"/>
      </c:lineChart>
      <c:catAx>
        <c:axId val="11762714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75000"/>
                  </a:schemeClr>
                </a:solidFill>
                <a:latin typeface="+mn-lt"/>
                <a:ea typeface="+mn-ea"/>
                <a:cs typeface="+mn-cs"/>
              </a:defRPr>
            </a:pPr>
            <a:endParaRPr lang="en-US"/>
          </a:p>
        </c:txPr>
        <c:crossAx val="1176272927"/>
        <c:crosses val="autoZero"/>
        <c:auto val="1"/>
        <c:lblAlgn val="ctr"/>
        <c:lblOffset val="100"/>
        <c:noMultiLvlLbl val="0"/>
      </c:catAx>
      <c:valAx>
        <c:axId val="11762729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627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[Excel_Sales_Dashboard_Dataset.xlsx]pivot_table!PivotTable3</c:name>
    <c:fmtId val="4"/>
  </c:pivotSource>
  <c:chart>
    <c:title>
      <c:tx>
        <c:rich>
          <a:bodyPr rot="0" spcFirstLastPara="1" vertOverflow="ellipsis" vert="horz" wrap="square" anchor="ctr" anchorCtr="1"/>
          <a:lstStyle/>
          <a:p>
            <a:pPr>
              <a:defRPr sz="1400" b="1" i="0" u="none" strike="noStrike" kern="1200" spc="0" baseline="0">
                <a:solidFill>
                  <a:schemeClr val="accent1"/>
                </a:solidFill>
                <a:latin typeface="Arial Narrow" panose="020B0606020202030204" pitchFamily="34" charset="0"/>
                <a:ea typeface="+mn-ea"/>
                <a:cs typeface="+mn-cs"/>
              </a:defRPr>
            </a:pPr>
            <a:r>
              <a:rPr lang="en-US" b="1">
                <a:solidFill>
                  <a:schemeClr val="accent1"/>
                </a:solidFill>
                <a:latin typeface="Arial Narrow" panose="020B0606020202030204" pitchFamily="34" charset="0"/>
              </a:rPr>
              <a:t>Total Sales in One</a:t>
            </a:r>
            <a:r>
              <a:rPr lang="en-US" b="1" baseline="0">
                <a:solidFill>
                  <a:schemeClr val="accent1"/>
                </a:solidFill>
                <a:latin typeface="Arial Narrow" panose="020B0606020202030204" pitchFamily="34" charset="0"/>
              </a:rPr>
              <a:t> Year</a:t>
            </a:r>
            <a:endParaRPr lang="en-US" b="1">
              <a:solidFill>
                <a:schemeClr val="accent1"/>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3.6111111111111059E-2"/>
              <c:y val="-0.182291666666666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5.5555555555555558E-3"/>
              <c:y val="-0.1614583333333333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3.6111111111111059E-2"/>
              <c:y val="-0.182291666666666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5.5555555555555558E-3"/>
              <c:y val="-0.1614583333333333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pivotFmt>
      <c:pivotFmt>
        <c:idx val="8"/>
        <c:spPr>
          <a:solidFill>
            <a:schemeClr val="accent1"/>
          </a:solidFill>
          <a:ln>
            <a:noFill/>
          </a:ln>
          <a:effectLst/>
          <a:sp3d/>
        </c:spPr>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019903762029748"/>
          <c:y val="0.21757791994750655"/>
          <c:w val="0.72216185476815398"/>
          <c:h val="0.5140113931946847"/>
        </c:manualLayout>
      </c:layout>
      <c:area3DChart>
        <c:grouping val="stacked"/>
        <c:varyColors val="0"/>
        <c:ser>
          <c:idx val="0"/>
          <c:order val="0"/>
          <c:tx>
            <c:strRef>
              <c:f>pivot_table!$I$3</c:f>
              <c:strCache>
                <c:ptCount val="1"/>
                <c:pt idx="0">
                  <c:v>Total</c:v>
                </c:pt>
              </c:strCache>
            </c:strRef>
          </c:tx>
          <c:spPr>
            <a:solidFill>
              <a:schemeClr val="accent1"/>
            </a:solidFill>
            <a:ln>
              <a:noFill/>
            </a:ln>
            <a:effectLst/>
            <a:sp3d/>
          </c:spPr>
          <c:cat>
            <c:strRef>
              <c:f>pivot_table!$H$4:$H$5</c:f>
              <c:strCache>
                <c:ptCount val="2"/>
                <c:pt idx="0">
                  <c:v>2024</c:v>
                </c:pt>
                <c:pt idx="1">
                  <c:v>2025</c:v>
                </c:pt>
              </c:strCache>
            </c:strRef>
          </c:cat>
          <c:val>
            <c:numRef>
              <c:f>pivot_table!$I$4:$I$5</c:f>
              <c:numCache>
                <c:formatCode>"₹"\ #,##0</c:formatCode>
                <c:ptCount val="2"/>
                <c:pt idx="0">
                  <c:v>14734396</c:v>
                </c:pt>
                <c:pt idx="1">
                  <c:v>13840225</c:v>
                </c:pt>
              </c:numCache>
            </c:numRef>
          </c:val>
          <c:extLst>
            <c:ext xmlns:c16="http://schemas.microsoft.com/office/drawing/2014/chart" uri="{C3380CC4-5D6E-409C-BE32-E72D297353CC}">
              <c16:uniqueId val="{00000002-E693-4F16-983C-BB3AC2B201BE}"/>
            </c:ext>
          </c:extLst>
        </c:ser>
        <c:dLbls>
          <c:showLegendKey val="0"/>
          <c:showVal val="0"/>
          <c:showCatName val="0"/>
          <c:showSerName val="0"/>
          <c:showPercent val="0"/>
          <c:showBubbleSize val="0"/>
        </c:dLbls>
        <c:axId val="1168581823"/>
        <c:axId val="1168582783"/>
        <c:axId val="0"/>
      </c:area3DChart>
      <c:catAx>
        <c:axId val="1168581823"/>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lumMod val="75000"/>
                  </a:schemeClr>
                </a:solidFill>
                <a:latin typeface="+mn-lt"/>
                <a:ea typeface="+mn-ea"/>
                <a:cs typeface="+mn-cs"/>
              </a:defRPr>
            </a:pPr>
            <a:endParaRPr lang="en-US"/>
          </a:p>
        </c:txPr>
        <c:crossAx val="1168582783"/>
        <c:crosses val="autoZero"/>
        <c:auto val="1"/>
        <c:lblAlgn val="ctr"/>
        <c:lblOffset val="100"/>
        <c:noMultiLvlLbl val="0"/>
      </c:catAx>
      <c:valAx>
        <c:axId val="1168582783"/>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68581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[Excel_Sales_Dashboard_Dataset.xlsx]pivot_table!PivotTable5</c:name>
    <c:fmtId val="7"/>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b="1">
                <a:solidFill>
                  <a:schemeClr val="accent5">
                    <a:lumMod val="75000"/>
                  </a:schemeClr>
                </a:solidFill>
                <a:latin typeface="Arial Narrow" panose="020B0606020202030204" pitchFamily="34" charset="0"/>
              </a:rPr>
              <a:t>High</a:t>
            </a:r>
            <a:r>
              <a:rPr lang="en-US" b="1" baseline="0">
                <a:solidFill>
                  <a:schemeClr val="accent5">
                    <a:lumMod val="75000"/>
                  </a:schemeClr>
                </a:solidFill>
                <a:latin typeface="Arial Narrow" panose="020B0606020202030204" pitchFamily="34" charset="0"/>
              </a:rPr>
              <a:t> Performer Sales Person</a:t>
            </a:r>
            <a:endParaRPr lang="en-US" b="1">
              <a:solidFill>
                <a:schemeClr val="accent5">
                  <a:lumMod val="75000"/>
                </a:schemeClr>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pivot_table!$P$3</c:f>
              <c:strCache>
                <c:ptCount val="1"/>
                <c:pt idx="0">
                  <c:v>Total</c:v>
                </c:pt>
              </c:strCache>
            </c:strRef>
          </c:tx>
          <c:spPr>
            <a:solidFill>
              <a:schemeClr val="accent5"/>
            </a:solidFill>
            <a:ln>
              <a:noFill/>
            </a:ln>
            <a:effectLst/>
            <a:sp3d/>
          </c:spPr>
          <c:invertIfNegative val="0"/>
          <c:cat>
            <c:strRef>
              <c:f>pivot_table!$O$4:$O$11</c:f>
              <c:strCache>
                <c:ptCount val="8"/>
                <c:pt idx="0">
                  <c:v>Aman</c:v>
                </c:pt>
                <c:pt idx="1">
                  <c:v>Arjun</c:v>
                </c:pt>
                <c:pt idx="2">
                  <c:v>Kiran</c:v>
                </c:pt>
                <c:pt idx="3">
                  <c:v>Neha</c:v>
                </c:pt>
                <c:pt idx="4">
                  <c:v>Priya</c:v>
                </c:pt>
                <c:pt idx="5">
                  <c:v>Rahul</c:v>
                </c:pt>
                <c:pt idx="6">
                  <c:v>Sneha</c:v>
                </c:pt>
                <c:pt idx="7">
                  <c:v>Vikas</c:v>
                </c:pt>
              </c:strCache>
            </c:strRef>
          </c:cat>
          <c:val>
            <c:numRef>
              <c:f>pivot_table!$P$4:$P$11</c:f>
              <c:numCache>
                <c:formatCode>"₹"\ #,##0</c:formatCode>
                <c:ptCount val="8"/>
                <c:pt idx="0">
                  <c:v>3413196</c:v>
                </c:pt>
                <c:pt idx="1">
                  <c:v>3508777</c:v>
                </c:pt>
                <c:pt idx="2">
                  <c:v>3307073</c:v>
                </c:pt>
                <c:pt idx="3">
                  <c:v>3495738</c:v>
                </c:pt>
                <c:pt idx="4">
                  <c:v>3577205</c:v>
                </c:pt>
                <c:pt idx="5">
                  <c:v>3813892</c:v>
                </c:pt>
                <c:pt idx="6">
                  <c:v>3677520</c:v>
                </c:pt>
                <c:pt idx="7">
                  <c:v>3781220</c:v>
                </c:pt>
              </c:numCache>
            </c:numRef>
          </c:val>
          <c:extLst>
            <c:ext xmlns:c16="http://schemas.microsoft.com/office/drawing/2014/chart" uri="{C3380CC4-5D6E-409C-BE32-E72D297353CC}">
              <c16:uniqueId val="{00000000-585A-438B-B320-31950B3B6291}"/>
            </c:ext>
          </c:extLst>
        </c:ser>
        <c:dLbls>
          <c:showLegendKey val="0"/>
          <c:showVal val="0"/>
          <c:showCatName val="0"/>
          <c:showSerName val="0"/>
          <c:showPercent val="0"/>
          <c:showBubbleSize val="0"/>
        </c:dLbls>
        <c:gapWidth val="150"/>
        <c:shape val="box"/>
        <c:axId val="1284205887"/>
        <c:axId val="1284204447"/>
        <c:axId val="0"/>
      </c:bar3DChart>
      <c:catAx>
        <c:axId val="1284205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284204447"/>
        <c:crosses val="autoZero"/>
        <c:auto val="1"/>
        <c:lblAlgn val="ctr"/>
        <c:lblOffset val="100"/>
        <c:noMultiLvlLbl val="0"/>
      </c:catAx>
      <c:valAx>
        <c:axId val="12842044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8420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15240</xdr:rowOff>
    </xdr:from>
    <xdr:to>
      <xdr:col>3</xdr:col>
      <xdr:colOff>327660</xdr:colOff>
      <xdr:row>5</xdr:row>
      <xdr:rowOff>22860</xdr:rowOff>
    </xdr:to>
    <xdr:pic>
      <xdr:nvPicPr>
        <xdr:cNvPr id="3" name="Picture 2">
          <a:extLst>
            <a:ext uri="{FF2B5EF4-FFF2-40B4-BE49-F238E27FC236}">
              <a16:creationId xmlns:a16="http://schemas.microsoft.com/office/drawing/2014/main" id="{0FE5C803-CCE4-F658-BF80-FA1B2302DF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5240"/>
          <a:ext cx="2156460" cy="922020"/>
        </a:xfrm>
        <a:prstGeom prst="rect">
          <a:avLst/>
        </a:prstGeom>
      </xdr:spPr>
    </xdr:pic>
    <xdr:clientData/>
  </xdr:twoCellAnchor>
  <xdr:twoCellAnchor>
    <xdr:from>
      <xdr:col>3</xdr:col>
      <xdr:colOff>373380</xdr:colOff>
      <xdr:row>0</xdr:row>
      <xdr:rowOff>15240</xdr:rowOff>
    </xdr:from>
    <xdr:to>
      <xdr:col>16</xdr:col>
      <xdr:colOff>312420</xdr:colOff>
      <xdr:row>4</xdr:row>
      <xdr:rowOff>175260</xdr:rowOff>
    </xdr:to>
    <xdr:sp macro="" textlink="">
      <xdr:nvSpPr>
        <xdr:cNvPr id="4" name="Rectangle: Rounded Corners 3">
          <a:extLst>
            <a:ext uri="{FF2B5EF4-FFF2-40B4-BE49-F238E27FC236}">
              <a16:creationId xmlns:a16="http://schemas.microsoft.com/office/drawing/2014/main" id="{CE447EDC-BC70-BD2B-6EF8-C11B1C7C86A7}"/>
            </a:ext>
          </a:extLst>
        </xdr:cNvPr>
        <xdr:cNvSpPr/>
      </xdr:nvSpPr>
      <xdr:spPr>
        <a:xfrm>
          <a:off x="2202180" y="15240"/>
          <a:ext cx="7863840" cy="89154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167640</xdr:colOff>
      <xdr:row>23</xdr:row>
      <xdr:rowOff>83820</xdr:rowOff>
    </xdr:from>
    <xdr:ext cx="2478351" cy="264560"/>
    <xdr:sp macro="" textlink="">
      <xdr:nvSpPr>
        <xdr:cNvPr id="5" name="TextBox 4">
          <a:extLst>
            <a:ext uri="{FF2B5EF4-FFF2-40B4-BE49-F238E27FC236}">
              <a16:creationId xmlns:a16="http://schemas.microsoft.com/office/drawing/2014/main" id="{976B5100-FC3C-C403-F73A-A38AFBDF428D}"/>
            </a:ext>
          </a:extLst>
        </xdr:cNvPr>
        <xdr:cNvSpPr txBox="1"/>
      </xdr:nvSpPr>
      <xdr:spPr>
        <a:xfrm>
          <a:off x="3825240" y="4290060"/>
          <a:ext cx="24783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3</xdr:col>
      <xdr:colOff>388620</xdr:colOff>
      <xdr:row>0</xdr:row>
      <xdr:rowOff>76200</xdr:rowOff>
    </xdr:from>
    <xdr:to>
      <xdr:col>16</xdr:col>
      <xdr:colOff>411480</xdr:colOff>
      <xdr:row>4</xdr:row>
      <xdr:rowOff>91440</xdr:rowOff>
    </xdr:to>
    <xdr:sp macro="" textlink="">
      <xdr:nvSpPr>
        <xdr:cNvPr id="6" name="TextBox 5">
          <a:extLst>
            <a:ext uri="{FF2B5EF4-FFF2-40B4-BE49-F238E27FC236}">
              <a16:creationId xmlns:a16="http://schemas.microsoft.com/office/drawing/2014/main" id="{B8F10B0C-9F91-3449-2CC8-BBDBD9A7A13D}"/>
            </a:ext>
          </a:extLst>
        </xdr:cNvPr>
        <xdr:cNvSpPr txBox="1"/>
      </xdr:nvSpPr>
      <xdr:spPr>
        <a:xfrm>
          <a:off x="2217420" y="76200"/>
          <a:ext cx="7947660" cy="74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latin typeface="Arial Narrow" panose="020B0606020202030204" pitchFamily="34" charset="0"/>
            </a:rPr>
            <a:t>Annaul Sales Perforamnces</a:t>
          </a:r>
          <a:r>
            <a:rPr lang="en-IN" sz="4400" b="1" baseline="0">
              <a:latin typeface="Arial Narrow" panose="020B0606020202030204" pitchFamily="34" charset="0"/>
            </a:rPr>
            <a:t> Report</a:t>
          </a:r>
          <a:endParaRPr lang="en-IN" sz="4400" b="1">
            <a:latin typeface="Arial Narrow" panose="020B0606020202030204" pitchFamily="34" charset="0"/>
          </a:endParaRPr>
        </a:p>
      </xdr:txBody>
    </xdr:sp>
    <xdr:clientData/>
  </xdr:twoCellAnchor>
  <xdr:twoCellAnchor>
    <xdr:from>
      <xdr:col>16</xdr:col>
      <xdr:colOff>365760</xdr:colOff>
      <xdr:row>0</xdr:row>
      <xdr:rowOff>15240</xdr:rowOff>
    </xdr:from>
    <xdr:to>
      <xdr:col>19</xdr:col>
      <xdr:colOff>579120</xdr:colOff>
      <xdr:row>4</xdr:row>
      <xdr:rowOff>175260</xdr:rowOff>
    </xdr:to>
    <xdr:sp macro="" textlink="">
      <xdr:nvSpPr>
        <xdr:cNvPr id="7" name="Rectangle: Rounded Corners 6">
          <a:extLst>
            <a:ext uri="{FF2B5EF4-FFF2-40B4-BE49-F238E27FC236}">
              <a16:creationId xmlns:a16="http://schemas.microsoft.com/office/drawing/2014/main" id="{FC7571CF-960E-E9B4-B780-80CF02DF50DE}"/>
            </a:ext>
          </a:extLst>
        </xdr:cNvPr>
        <xdr:cNvSpPr/>
      </xdr:nvSpPr>
      <xdr:spPr>
        <a:xfrm>
          <a:off x="10119360" y="15240"/>
          <a:ext cx="2042160" cy="89154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15240</xdr:colOff>
      <xdr:row>0</xdr:row>
      <xdr:rowOff>7620</xdr:rowOff>
    </xdr:from>
    <xdr:to>
      <xdr:col>23</xdr:col>
      <xdr:colOff>121920</xdr:colOff>
      <xdr:row>4</xdr:row>
      <xdr:rowOff>167640</xdr:rowOff>
    </xdr:to>
    <xdr:sp macro="" textlink="">
      <xdr:nvSpPr>
        <xdr:cNvPr id="8" name="Rectangle: Rounded Corners 7">
          <a:extLst>
            <a:ext uri="{FF2B5EF4-FFF2-40B4-BE49-F238E27FC236}">
              <a16:creationId xmlns:a16="http://schemas.microsoft.com/office/drawing/2014/main" id="{07B7F308-1CA3-4838-AE90-701CF956C376}"/>
            </a:ext>
          </a:extLst>
        </xdr:cNvPr>
        <xdr:cNvSpPr/>
      </xdr:nvSpPr>
      <xdr:spPr>
        <a:xfrm>
          <a:off x="12207240" y="7620"/>
          <a:ext cx="1935480" cy="89154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38100</xdr:colOff>
      <xdr:row>1</xdr:row>
      <xdr:rowOff>0</xdr:rowOff>
    </xdr:from>
    <xdr:to>
      <xdr:col>19</xdr:col>
      <xdr:colOff>335280</xdr:colOff>
      <xdr:row>2</xdr:row>
      <xdr:rowOff>167640</xdr:rowOff>
    </xdr:to>
    <xdr:sp macro="" textlink="">
      <xdr:nvSpPr>
        <xdr:cNvPr id="9" name="TextBox 8">
          <a:extLst>
            <a:ext uri="{FF2B5EF4-FFF2-40B4-BE49-F238E27FC236}">
              <a16:creationId xmlns:a16="http://schemas.microsoft.com/office/drawing/2014/main" id="{B9F8A5E7-04B3-B6C4-6A26-FC8690E6FA10}"/>
            </a:ext>
          </a:extLst>
        </xdr:cNvPr>
        <xdr:cNvSpPr txBox="1"/>
      </xdr:nvSpPr>
      <xdr:spPr>
        <a:xfrm>
          <a:off x="10401300" y="182880"/>
          <a:ext cx="15163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rial Narrow" panose="020B0606020202030204" pitchFamily="34" charset="0"/>
            </a:rPr>
            <a:t>Sum of Revenue</a:t>
          </a:r>
        </a:p>
      </xdr:txBody>
    </xdr:sp>
    <xdr:clientData/>
  </xdr:twoCellAnchor>
  <xdr:twoCellAnchor>
    <xdr:from>
      <xdr:col>20</xdr:col>
      <xdr:colOff>419100</xdr:colOff>
      <xdr:row>0</xdr:row>
      <xdr:rowOff>167640</xdr:rowOff>
    </xdr:from>
    <xdr:to>
      <xdr:col>23</xdr:col>
      <xdr:colOff>106680</xdr:colOff>
      <xdr:row>3</xdr:row>
      <xdr:rowOff>15240</xdr:rowOff>
    </xdr:to>
    <xdr:sp macro="" textlink="">
      <xdr:nvSpPr>
        <xdr:cNvPr id="10" name="TextBox 9">
          <a:extLst>
            <a:ext uri="{FF2B5EF4-FFF2-40B4-BE49-F238E27FC236}">
              <a16:creationId xmlns:a16="http://schemas.microsoft.com/office/drawing/2014/main" id="{274D8996-2C8D-373F-3A7F-5ADBE6B07A1D}"/>
            </a:ext>
          </a:extLst>
        </xdr:cNvPr>
        <xdr:cNvSpPr txBox="1"/>
      </xdr:nvSpPr>
      <xdr:spPr>
        <a:xfrm>
          <a:off x="12611100" y="167640"/>
          <a:ext cx="15163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rial Narrow" panose="020B0606020202030204" pitchFamily="34" charset="0"/>
            </a:rPr>
            <a:t>Sum of Profit</a:t>
          </a:r>
        </a:p>
      </xdr:txBody>
    </xdr:sp>
    <xdr:clientData/>
  </xdr:twoCellAnchor>
  <xdr:twoCellAnchor>
    <xdr:from>
      <xdr:col>17</xdr:col>
      <xdr:colOff>167640</xdr:colOff>
      <xdr:row>2</xdr:row>
      <xdr:rowOff>137160</xdr:rowOff>
    </xdr:from>
    <xdr:to>
      <xdr:col>19</xdr:col>
      <xdr:colOff>297180</xdr:colOff>
      <xdr:row>4</xdr:row>
      <xdr:rowOff>114300</xdr:rowOff>
    </xdr:to>
    <xdr:sp macro="" textlink="pivot_table!$T$4">
      <xdr:nvSpPr>
        <xdr:cNvPr id="11" name="TextBox 10">
          <a:extLst>
            <a:ext uri="{FF2B5EF4-FFF2-40B4-BE49-F238E27FC236}">
              <a16:creationId xmlns:a16="http://schemas.microsoft.com/office/drawing/2014/main" id="{0E210D0F-741B-751F-3E58-3DF743C0C5F4}"/>
            </a:ext>
          </a:extLst>
        </xdr:cNvPr>
        <xdr:cNvSpPr txBox="1"/>
      </xdr:nvSpPr>
      <xdr:spPr>
        <a:xfrm>
          <a:off x="10530840" y="502920"/>
          <a:ext cx="13487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C7B4B9-2503-41EA-BF74-6CAAB3B81C43}" type="TxLink">
            <a:rPr lang="en-US" sz="1600" b="1" i="0" u="none" strike="noStrike">
              <a:solidFill>
                <a:srgbClr val="C00000"/>
              </a:solidFill>
              <a:latin typeface="Calibri"/>
              <a:ea typeface="Calibri"/>
              <a:cs typeface="Calibri"/>
            </a:rPr>
            <a:pPr/>
            <a:t>₹ 2,85,74,621</a:t>
          </a:fld>
          <a:endParaRPr lang="en-IN" sz="1600" b="1">
            <a:solidFill>
              <a:srgbClr val="C00000"/>
            </a:solidFill>
            <a:latin typeface="Arial Narrow" panose="020B0606020202030204" pitchFamily="34" charset="0"/>
          </a:endParaRPr>
        </a:p>
      </xdr:txBody>
    </xdr:sp>
    <xdr:clientData/>
  </xdr:twoCellAnchor>
  <xdr:twoCellAnchor>
    <xdr:from>
      <xdr:col>20</xdr:col>
      <xdr:colOff>426720</xdr:colOff>
      <xdr:row>2</xdr:row>
      <xdr:rowOff>121920</xdr:rowOff>
    </xdr:from>
    <xdr:to>
      <xdr:col>22</xdr:col>
      <xdr:colOff>487680</xdr:colOff>
      <xdr:row>4</xdr:row>
      <xdr:rowOff>68580</xdr:rowOff>
    </xdr:to>
    <xdr:sp macro="" textlink="pivot_table!$U$4">
      <xdr:nvSpPr>
        <xdr:cNvPr id="12" name="TextBox 11">
          <a:extLst>
            <a:ext uri="{FF2B5EF4-FFF2-40B4-BE49-F238E27FC236}">
              <a16:creationId xmlns:a16="http://schemas.microsoft.com/office/drawing/2014/main" id="{22BAA4D1-324B-4586-F440-AA1904C213BA}"/>
            </a:ext>
          </a:extLst>
        </xdr:cNvPr>
        <xdr:cNvSpPr txBox="1"/>
      </xdr:nvSpPr>
      <xdr:spPr>
        <a:xfrm>
          <a:off x="12618720" y="487680"/>
          <a:ext cx="12801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1DF0D8-B2E3-463D-96FA-6157E1F1DA0D}" type="TxLink">
            <a:rPr lang="en-US" sz="1600" b="1" i="0" u="none" strike="noStrike">
              <a:solidFill>
                <a:srgbClr val="C00000"/>
              </a:solidFill>
              <a:latin typeface="Calibri"/>
              <a:ea typeface="Calibri"/>
              <a:cs typeface="Calibri"/>
            </a:rPr>
            <a:pPr/>
            <a:t>₹ 85,76,912</a:t>
          </a:fld>
          <a:endParaRPr lang="en-IN" sz="1600" b="1">
            <a:solidFill>
              <a:srgbClr val="C00000"/>
            </a:solidFill>
            <a:latin typeface="Arial Narrow" panose="020B0606020202030204" pitchFamily="34" charset="0"/>
          </a:endParaRPr>
        </a:p>
      </xdr:txBody>
    </xdr:sp>
    <xdr:clientData/>
  </xdr:twoCellAnchor>
  <xdr:twoCellAnchor>
    <xdr:from>
      <xdr:col>0</xdr:col>
      <xdr:colOff>0</xdr:colOff>
      <xdr:row>5</xdr:row>
      <xdr:rowOff>22860</xdr:rowOff>
    </xdr:from>
    <xdr:to>
      <xdr:col>6</xdr:col>
      <xdr:colOff>396240</xdr:colOff>
      <xdr:row>16</xdr:row>
      <xdr:rowOff>152400</xdr:rowOff>
    </xdr:to>
    <xdr:graphicFrame macro="">
      <xdr:nvGraphicFramePr>
        <xdr:cNvPr id="13" name="Chart 12">
          <a:extLst>
            <a:ext uri="{FF2B5EF4-FFF2-40B4-BE49-F238E27FC236}">
              <a16:creationId xmlns:a16="http://schemas.microsoft.com/office/drawing/2014/main" id="{33FEBD12-9FA1-44EB-A945-A2E63A9EC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441960</xdr:colOff>
      <xdr:row>5</xdr:row>
      <xdr:rowOff>22860</xdr:rowOff>
    </xdr:from>
    <xdr:to>
      <xdr:col>11</xdr:col>
      <xdr:colOff>327660</xdr:colOff>
      <xdr:row>16</xdr:row>
      <xdr:rowOff>152400</xdr:rowOff>
    </xdr:to>
    <xdr:graphicFrame macro="">
      <xdr:nvGraphicFramePr>
        <xdr:cNvPr id="14" name="Chart 13">
          <a:extLst>
            <a:ext uri="{FF2B5EF4-FFF2-40B4-BE49-F238E27FC236}">
              <a16:creationId xmlns:a16="http://schemas.microsoft.com/office/drawing/2014/main" id="{C5536E63-66D9-439A-AA07-F03F0BCFB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0</xdr:rowOff>
    </xdr:from>
    <xdr:to>
      <xdr:col>4</xdr:col>
      <xdr:colOff>236220</xdr:colOff>
      <xdr:row>31</xdr:row>
      <xdr:rowOff>121920</xdr:rowOff>
    </xdr:to>
    <xdr:graphicFrame macro="">
      <xdr:nvGraphicFramePr>
        <xdr:cNvPr id="15" name="Chart 14">
          <a:extLst>
            <a:ext uri="{FF2B5EF4-FFF2-40B4-BE49-F238E27FC236}">
              <a16:creationId xmlns:a16="http://schemas.microsoft.com/office/drawing/2014/main" id="{8B2D3AB5-DE98-4367-900F-ACA106591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266700</xdr:colOff>
      <xdr:row>17</xdr:row>
      <xdr:rowOff>0</xdr:rowOff>
    </xdr:from>
    <xdr:to>
      <xdr:col>23</xdr:col>
      <xdr:colOff>99060</xdr:colOff>
      <xdr:row>31</xdr:row>
      <xdr:rowOff>106680</xdr:rowOff>
    </xdr:to>
    <xdr:graphicFrame macro="">
      <xdr:nvGraphicFramePr>
        <xdr:cNvPr id="16" name="Chart 15">
          <a:extLst>
            <a:ext uri="{FF2B5EF4-FFF2-40B4-BE49-F238E27FC236}">
              <a16:creationId xmlns:a16="http://schemas.microsoft.com/office/drawing/2014/main" id="{435D243D-1D6D-43DE-8076-50FE4C92C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205740</xdr:colOff>
      <xdr:row>16</xdr:row>
      <xdr:rowOff>175260</xdr:rowOff>
    </xdr:from>
    <xdr:to>
      <xdr:col>11</xdr:col>
      <xdr:colOff>7620</xdr:colOff>
      <xdr:row>31</xdr:row>
      <xdr:rowOff>121920</xdr:rowOff>
    </xdr:to>
    <xdr:graphicFrame macro="">
      <xdr:nvGraphicFramePr>
        <xdr:cNvPr id="17" name="Chart 16">
          <a:extLst>
            <a:ext uri="{FF2B5EF4-FFF2-40B4-BE49-F238E27FC236}">
              <a16:creationId xmlns:a16="http://schemas.microsoft.com/office/drawing/2014/main" id="{D747182D-A381-49B3-A537-D63A244B5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22860</xdr:colOff>
      <xdr:row>16</xdr:row>
      <xdr:rowOff>175260</xdr:rowOff>
    </xdr:from>
    <xdr:to>
      <xdr:col>14</xdr:col>
      <xdr:colOff>243840</xdr:colOff>
      <xdr:row>31</xdr:row>
      <xdr:rowOff>114300</xdr:rowOff>
    </xdr:to>
    <xdr:graphicFrame macro="">
      <xdr:nvGraphicFramePr>
        <xdr:cNvPr id="18" name="Chart 17">
          <a:extLst>
            <a:ext uri="{FF2B5EF4-FFF2-40B4-BE49-F238E27FC236}">
              <a16:creationId xmlns:a16="http://schemas.microsoft.com/office/drawing/2014/main" id="{1AB86F8B-0CC2-4E52-95E5-66AB4D402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342900</xdr:colOff>
      <xdr:row>5</xdr:row>
      <xdr:rowOff>53340</xdr:rowOff>
    </xdr:from>
    <xdr:to>
      <xdr:col>17</xdr:col>
      <xdr:colOff>411480</xdr:colOff>
      <xdr:row>16</xdr:row>
      <xdr:rowOff>175260</xdr:rowOff>
    </xdr:to>
    <xdr:graphicFrame macro="">
      <xdr:nvGraphicFramePr>
        <xdr:cNvPr id="19" name="Chart 18">
          <a:extLst>
            <a:ext uri="{FF2B5EF4-FFF2-40B4-BE49-F238E27FC236}">
              <a16:creationId xmlns:a16="http://schemas.microsoft.com/office/drawing/2014/main" id="{376DC59B-7C53-4591-A109-F9FEFBD62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419100</xdr:colOff>
      <xdr:row>5</xdr:row>
      <xdr:rowOff>38100</xdr:rowOff>
    </xdr:from>
    <xdr:to>
      <xdr:col>20</xdr:col>
      <xdr:colOff>335280</xdr:colOff>
      <xdr:row>13</xdr:row>
      <xdr:rowOff>38099</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27F7FA2E-C78F-4445-A8E3-BB74F8DA02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82300" y="952500"/>
              <a:ext cx="174498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373380</xdr:colOff>
      <xdr:row>5</xdr:row>
      <xdr:rowOff>30480</xdr:rowOff>
    </xdr:from>
    <xdr:to>
      <xdr:col>23</xdr:col>
      <xdr:colOff>121920</xdr:colOff>
      <xdr:row>13</xdr:row>
      <xdr:rowOff>22860</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5B0C6619-BD20-4A69-A037-EA95F65040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65380" y="944880"/>
              <a:ext cx="157734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449580</xdr:colOff>
      <xdr:row>13</xdr:row>
      <xdr:rowOff>60960</xdr:rowOff>
    </xdr:from>
    <xdr:to>
      <xdr:col>23</xdr:col>
      <xdr:colOff>106680</xdr:colOff>
      <xdr:row>16</xdr:row>
      <xdr:rowOff>152400</xdr:rowOff>
    </xdr:to>
    <mc:AlternateContent xmlns:mc="http://schemas.openxmlformats.org/markup-compatibility/2006" xmlns:a14="http://schemas.microsoft.com/office/drawing/2010/main">
      <mc:Choice Requires="a14">
        <xdr:graphicFrame macro="">
          <xdr:nvGraphicFramePr>
            <xdr:cNvPr id="22" name="Customer_Type">
              <a:extLst>
                <a:ext uri="{FF2B5EF4-FFF2-40B4-BE49-F238E27FC236}">
                  <a16:creationId xmlns:a16="http://schemas.microsoft.com/office/drawing/2014/main" id="{9A38A5CF-4470-4DEE-B833-9EFC38770863}"/>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0812780" y="2438400"/>
              <a:ext cx="3314700" cy="64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1.542681828701" createdVersion="8" refreshedVersion="8" minRefreshableVersion="3" recordCount="1000" xr:uid="{E4CAB9B4-5466-47B0-935E-560633652825}">
  <cacheSource type="worksheet">
    <worksheetSource name="Table1"/>
  </cacheSource>
  <cacheFields count="15">
    <cacheField name="Order_ID" numFmtId="0">
      <sharedItems/>
    </cacheField>
    <cacheField name="Order_Date" numFmtId="164">
      <sharedItems containsSemiMixedTypes="0" containsNonDate="0" containsDate="1" containsString="0" minDate="2024-01-02T00:00:00" maxDate="2025-12-27T00:00:00"/>
    </cacheField>
    <cacheField name="Region" numFmtId="0">
      <sharedItems count="4">
        <s v="East"/>
        <s v="North"/>
        <s v="West"/>
        <s v="South"/>
      </sharedItems>
    </cacheField>
    <cacheField name="State" numFmtId="0">
      <sharedItems count="6">
        <s v="UP"/>
        <s v="Gujarat"/>
        <s v="Maharashtra"/>
        <s v="Tamil Nadu"/>
        <s v="Delhi"/>
        <s v="Karnataka"/>
      </sharedItems>
    </cacheField>
    <cacheField name="Category" numFmtId="0">
      <sharedItems count="3">
        <s v="Office Supplies"/>
        <s v="Electronics"/>
        <s v="Furniture"/>
      </sharedItems>
    </cacheField>
    <cacheField name="Sub_Category" numFmtId="0">
      <sharedItems/>
    </cacheField>
    <cacheField name="Product" numFmtId="0">
      <sharedItems count="9">
        <s v="Paper"/>
        <s v="Laptop"/>
        <s v="Phone"/>
        <s v="Cabinet"/>
        <s v="Printer Ink"/>
        <s v="Tablet"/>
        <s v="Desk"/>
        <s v="Chair"/>
        <s v="Pen"/>
      </sharedItems>
    </cacheField>
    <cacheField name="Salesperson" numFmtId="0">
      <sharedItems count="8">
        <s v="Sneha"/>
        <s v="Aman"/>
        <s v="Vikas"/>
        <s v="Priya"/>
        <s v="Kiran"/>
        <s v="Rahul"/>
        <s v="Neha"/>
        <s v="Arjun"/>
      </sharedItems>
    </cacheField>
    <cacheField name="Customer_Type" numFmtId="0">
      <sharedItems count="2">
        <s v="Corporate"/>
        <s v="Retail"/>
      </sharedItems>
    </cacheField>
    <cacheField name="Units_Sold" numFmtId="0">
      <sharedItems containsSemiMixedTypes="0" containsString="0" containsNumber="1" containsInteger="1" minValue="1" maxValue="20"/>
    </cacheField>
    <cacheField name="Unit_Price" numFmtId="0">
      <sharedItems containsSemiMixedTypes="0" containsString="0" containsNumber="1" containsInteger="1" minValue="102" maxValue="4999"/>
    </cacheField>
    <cacheField name="Revenue" numFmtId="0">
      <sharedItems containsSemiMixedTypes="0" containsString="0" containsNumber="1" containsInteger="1" minValue="102" maxValue="99240"/>
    </cacheField>
    <cacheField name="Cost" numFmtId="0">
      <sharedItems containsSemiMixedTypes="0" containsString="0" containsNumber="1" minValue="68.319999999999993" maxValue="80934.78"/>
    </cacheField>
    <cacheField name="Profit" numFmtId="0">
      <sharedItems containsSemiMixedTypes="0" containsString="0" containsNumber="1" minValue="33.68" maxValue="39877.11"/>
    </cacheField>
    <cacheField name="Year" numFmtId="0">
      <sharedItems count="2">
        <s v="2024"/>
        <s v="2025"/>
      </sharedItems>
    </cacheField>
  </cacheFields>
  <extLst>
    <ext xmlns:x14="http://schemas.microsoft.com/office/spreadsheetml/2009/9/main" uri="{725AE2AE-9491-48be-B2B4-4EB974FC3084}">
      <x14:pivotCacheDefinition pivotCacheId="410497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2"/>
    <d v="2024-01-18T00:00:00"/>
    <x v="0"/>
    <x v="0"/>
    <x v="0"/>
    <s v="Paper"/>
    <x v="0"/>
    <x v="0"/>
    <x v="0"/>
    <n v="14"/>
    <n v="4439"/>
    <n v="62146"/>
    <n v="49627.22"/>
    <n v="12518.78"/>
    <x v="0"/>
  </r>
  <r>
    <s v="ORD10003"/>
    <d v="2025-10-30T00:00:00"/>
    <x v="1"/>
    <x v="0"/>
    <x v="1"/>
    <s v="Laptop"/>
    <x v="1"/>
    <x v="1"/>
    <x v="0"/>
    <n v="1"/>
    <n v="4854"/>
    <n v="4854"/>
    <n v="3829.84"/>
    <n v="1024.1600000000001"/>
    <x v="1"/>
  </r>
  <r>
    <s v="ORD10004"/>
    <d v="2025-12-04T00:00:00"/>
    <x v="0"/>
    <x v="1"/>
    <x v="0"/>
    <s v="Paper"/>
    <x v="0"/>
    <x v="2"/>
    <x v="1"/>
    <n v="8"/>
    <n v="1475"/>
    <n v="11800"/>
    <n v="8263.26"/>
    <n v="3536.74"/>
    <x v="1"/>
  </r>
  <r>
    <s v="ORD10005"/>
    <d v="2025-08-08T00:00:00"/>
    <x v="2"/>
    <x v="0"/>
    <x v="1"/>
    <s v="Phone"/>
    <x v="2"/>
    <x v="0"/>
    <x v="0"/>
    <n v="18"/>
    <n v="4293"/>
    <n v="77274"/>
    <n v="53392.22"/>
    <n v="23881.78"/>
    <x v="1"/>
  </r>
  <r>
    <s v="ORD10006"/>
    <d v="2024-11-10T00:00:00"/>
    <x v="1"/>
    <x v="2"/>
    <x v="2"/>
    <s v="Cabinet"/>
    <x v="3"/>
    <x v="1"/>
    <x v="1"/>
    <n v="9"/>
    <n v="4194"/>
    <n v="37746"/>
    <n v="27261.45"/>
    <n v="10484.549999999999"/>
    <x v="0"/>
  </r>
  <r>
    <s v="ORD10007"/>
    <d v="2024-08-22T00:00:00"/>
    <x v="2"/>
    <x v="1"/>
    <x v="0"/>
    <s v="Paper"/>
    <x v="0"/>
    <x v="3"/>
    <x v="1"/>
    <n v="20"/>
    <n v="219"/>
    <n v="4380"/>
    <n v="3585.74"/>
    <n v="794.26"/>
    <x v="0"/>
  </r>
  <r>
    <s v="ORD10008"/>
    <d v="2024-02-18T00:00:00"/>
    <x v="0"/>
    <x v="3"/>
    <x v="0"/>
    <s v="Printer Ink"/>
    <x v="4"/>
    <x v="4"/>
    <x v="1"/>
    <n v="8"/>
    <n v="1676"/>
    <n v="13408"/>
    <n v="7800.01"/>
    <n v="5607.99"/>
    <x v="0"/>
  </r>
  <r>
    <s v="ORD10009"/>
    <d v="2025-07-15T00:00:00"/>
    <x v="2"/>
    <x v="4"/>
    <x v="1"/>
    <s v="Tablet"/>
    <x v="5"/>
    <x v="5"/>
    <x v="0"/>
    <n v="20"/>
    <n v="2243"/>
    <n v="44860"/>
    <n v="26137.65"/>
    <n v="18722.349999999999"/>
    <x v="1"/>
  </r>
  <r>
    <s v="ORD10010"/>
    <d v="2025-06-06T00:00:00"/>
    <x v="1"/>
    <x v="2"/>
    <x v="2"/>
    <s v="Cabinet"/>
    <x v="3"/>
    <x v="6"/>
    <x v="0"/>
    <n v="16"/>
    <n v="380"/>
    <n v="6080"/>
    <n v="3980.99"/>
    <n v="2099.0100000000002"/>
    <x v="1"/>
  </r>
  <r>
    <s v="ORD10011"/>
    <d v="2025-09-24T00:00:00"/>
    <x v="1"/>
    <x v="1"/>
    <x v="2"/>
    <s v="Desk"/>
    <x v="6"/>
    <x v="6"/>
    <x v="0"/>
    <n v="14"/>
    <n v="2731"/>
    <n v="38234"/>
    <n v="28135.43"/>
    <n v="10098.57"/>
    <x v="1"/>
  </r>
  <r>
    <s v="ORD10012"/>
    <d v="2024-06-05T00:00:00"/>
    <x v="2"/>
    <x v="1"/>
    <x v="1"/>
    <s v="Laptop"/>
    <x v="1"/>
    <x v="1"/>
    <x v="0"/>
    <n v="9"/>
    <n v="3821"/>
    <n v="34389"/>
    <n v="25050.66"/>
    <n v="9338.34"/>
    <x v="0"/>
  </r>
  <r>
    <s v="ORD10013"/>
    <d v="2025-06-23T00:00:00"/>
    <x v="1"/>
    <x v="1"/>
    <x v="2"/>
    <s v="Chair"/>
    <x v="7"/>
    <x v="2"/>
    <x v="0"/>
    <n v="17"/>
    <n v="2290"/>
    <n v="38930"/>
    <n v="32043.83"/>
    <n v="6886.17"/>
    <x v="1"/>
  </r>
  <r>
    <s v="ORD10014"/>
    <d v="2025-05-09T00:00:00"/>
    <x v="3"/>
    <x v="4"/>
    <x v="2"/>
    <s v="Chair"/>
    <x v="7"/>
    <x v="0"/>
    <x v="0"/>
    <n v="15"/>
    <n v="1550"/>
    <n v="23250"/>
    <n v="18032.55"/>
    <n v="5217.45"/>
    <x v="1"/>
  </r>
  <r>
    <s v="ORD10015"/>
    <d v="2024-07-22T00:00:00"/>
    <x v="0"/>
    <x v="4"/>
    <x v="2"/>
    <s v="Chair"/>
    <x v="7"/>
    <x v="5"/>
    <x v="1"/>
    <n v="12"/>
    <n v="1139"/>
    <n v="13668"/>
    <n v="8872.0300000000007"/>
    <n v="4795.97"/>
    <x v="0"/>
  </r>
  <r>
    <s v="ORD10016"/>
    <d v="2024-10-27T00:00:00"/>
    <x v="0"/>
    <x v="5"/>
    <x v="0"/>
    <s v="Paper"/>
    <x v="0"/>
    <x v="7"/>
    <x v="1"/>
    <n v="3"/>
    <n v="3862"/>
    <n v="11586"/>
    <n v="7648.45"/>
    <n v="3937.55"/>
    <x v="0"/>
  </r>
  <r>
    <s v="ORD10017"/>
    <d v="2024-12-22T00:00:00"/>
    <x v="3"/>
    <x v="2"/>
    <x v="2"/>
    <s v="Cabinet"/>
    <x v="3"/>
    <x v="3"/>
    <x v="1"/>
    <n v="6"/>
    <n v="1885"/>
    <n v="11310"/>
    <n v="7994.14"/>
    <n v="3315.86"/>
    <x v="0"/>
  </r>
  <r>
    <s v="ORD10018"/>
    <d v="2025-12-20T00:00:00"/>
    <x v="0"/>
    <x v="1"/>
    <x v="2"/>
    <s v="Cabinet"/>
    <x v="3"/>
    <x v="4"/>
    <x v="0"/>
    <n v="14"/>
    <n v="2737"/>
    <n v="38318"/>
    <n v="22039.95"/>
    <n v="16278.05"/>
    <x v="1"/>
  </r>
  <r>
    <s v="ORD10019"/>
    <d v="2024-10-19T00:00:00"/>
    <x v="0"/>
    <x v="4"/>
    <x v="1"/>
    <s v="Tablet"/>
    <x v="5"/>
    <x v="0"/>
    <x v="1"/>
    <n v="20"/>
    <n v="2874"/>
    <n v="57480"/>
    <n v="48818.71"/>
    <n v="8661.2900000000009"/>
    <x v="0"/>
  </r>
  <r>
    <s v="ORD10020"/>
    <d v="2025-05-20T00:00:00"/>
    <x v="3"/>
    <x v="0"/>
    <x v="2"/>
    <s v="Chair"/>
    <x v="7"/>
    <x v="5"/>
    <x v="1"/>
    <n v="4"/>
    <n v="550"/>
    <n v="2200"/>
    <n v="1730.96"/>
    <n v="469.04"/>
    <x v="1"/>
  </r>
  <r>
    <s v="ORD10021"/>
    <d v="2025-02-21T00:00:00"/>
    <x v="0"/>
    <x v="3"/>
    <x v="2"/>
    <s v="Chair"/>
    <x v="7"/>
    <x v="7"/>
    <x v="0"/>
    <n v="10"/>
    <n v="3038"/>
    <n v="30380"/>
    <n v="24691.57"/>
    <n v="5688.43"/>
    <x v="1"/>
  </r>
  <r>
    <s v="ORD10022"/>
    <d v="2024-07-22T00:00:00"/>
    <x v="2"/>
    <x v="0"/>
    <x v="1"/>
    <s v="Phone"/>
    <x v="2"/>
    <x v="3"/>
    <x v="1"/>
    <n v="16"/>
    <n v="783"/>
    <n v="12528"/>
    <n v="7772.01"/>
    <n v="4755.99"/>
    <x v="0"/>
  </r>
  <r>
    <s v="ORD10023"/>
    <d v="2024-07-09T00:00:00"/>
    <x v="0"/>
    <x v="5"/>
    <x v="1"/>
    <s v="Phone"/>
    <x v="2"/>
    <x v="3"/>
    <x v="1"/>
    <n v="6"/>
    <n v="1475"/>
    <n v="8850"/>
    <n v="6715.64"/>
    <n v="2134.36"/>
    <x v="0"/>
  </r>
  <r>
    <s v="ORD10024"/>
    <d v="2025-05-06T00:00:00"/>
    <x v="2"/>
    <x v="5"/>
    <x v="2"/>
    <s v="Desk"/>
    <x v="6"/>
    <x v="6"/>
    <x v="1"/>
    <n v="4"/>
    <n v="1744"/>
    <n v="6976"/>
    <n v="5357.27"/>
    <n v="1618.73"/>
    <x v="1"/>
  </r>
  <r>
    <s v="ORD10025"/>
    <d v="2024-03-15T00:00:00"/>
    <x v="3"/>
    <x v="3"/>
    <x v="0"/>
    <s v="Pen"/>
    <x v="8"/>
    <x v="5"/>
    <x v="0"/>
    <n v="11"/>
    <n v="1730"/>
    <n v="19030"/>
    <n v="13233.69"/>
    <n v="5796.31"/>
    <x v="0"/>
  </r>
  <r>
    <s v="ORD10026"/>
    <d v="2024-05-12T00:00:00"/>
    <x v="1"/>
    <x v="5"/>
    <x v="1"/>
    <s v="Phone"/>
    <x v="2"/>
    <x v="7"/>
    <x v="1"/>
    <n v="17"/>
    <n v="1605"/>
    <n v="27285"/>
    <n v="23037.200000000001"/>
    <n v="4247.8"/>
    <x v="0"/>
  </r>
  <r>
    <s v="ORD10027"/>
    <d v="2024-06-13T00:00:00"/>
    <x v="2"/>
    <x v="1"/>
    <x v="0"/>
    <s v="Paper"/>
    <x v="0"/>
    <x v="3"/>
    <x v="0"/>
    <n v="10"/>
    <n v="1069"/>
    <n v="10690"/>
    <n v="6266.61"/>
    <n v="4423.3900000000003"/>
    <x v="0"/>
  </r>
  <r>
    <s v="ORD10028"/>
    <d v="2024-11-06T00:00:00"/>
    <x v="1"/>
    <x v="2"/>
    <x v="0"/>
    <s v="Paper"/>
    <x v="0"/>
    <x v="1"/>
    <x v="0"/>
    <n v="4"/>
    <n v="147"/>
    <n v="588"/>
    <n v="429.6"/>
    <n v="158.4"/>
    <x v="0"/>
  </r>
  <r>
    <s v="ORD10029"/>
    <d v="2024-03-11T00:00:00"/>
    <x v="3"/>
    <x v="3"/>
    <x v="1"/>
    <s v="Phone"/>
    <x v="2"/>
    <x v="2"/>
    <x v="0"/>
    <n v="19"/>
    <n v="4198"/>
    <n v="79762"/>
    <n v="61234.2"/>
    <n v="18527.8"/>
    <x v="0"/>
  </r>
  <r>
    <s v="ORD10030"/>
    <d v="2025-12-17T00:00:00"/>
    <x v="0"/>
    <x v="3"/>
    <x v="1"/>
    <s v="Tablet"/>
    <x v="5"/>
    <x v="1"/>
    <x v="1"/>
    <n v="6"/>
    <n v="4313"/>
    <n v="25878"/>
    <n v="21692.51"/>
    <n v="4185.49"/>
    <x v="1"/>
  </r>
  <r>
    <s v="ORD10031"/>
    <d v="2025-04-02T00:00:00"/>
    <x v="3"/>
    <x v="4"/>
    <x v="0"/>
    <s v="Pen"/>
    <x v="8"/>
    <x v="0"/>
    <x v="1"/>
    <n v="13"/>
    <n v="3782"/>
    <n v="49166"/>
    <n v="29004.880000000001"/>
    <n v="20161.12"/>
    <x v="1"/>
  </r>
  <r>
    <s v="ORD10032"/>
    <d v="2024-03-12T00:00:00"/>
    <x v="0"/>
    <x v="2"/>
    <x v="0"/>
    <s v="Pen"/>
    <x v="8"/>
    <x v="4"/>
    <x v="0"/>
    <n v="20"/>
    <n v="2882"/>
    <n v="57640"/>
    <n v="35839.08"/>
    <n v="21800.92"/>
    <x v="0"/>
  </r>
  <r>
    <s v="ORD10033"/>
    <d v="2025-10-02T00:00:00"/>
    <x v="1"/>
    <x v="0"/>
    <x v="1"/>
    <s v="Tablet"/>
    <x v="5"/>
    <x v="2"/>
    <x v="0"/>
    <n v="15"/>
    <n v="2558"/>
    <n v="38370"/>
    <n v="27051.25"/>
    <n v="11318.75"/>
    <x v="1"/>
  </r>
  <r>
    <s v="ORD10034"/>
    <d v="2025-01-21T00:00:00"/>
    <x v="2"/>
    <x v="2"/>
    <x v="1"/>
    <s v="Laptop"/>
    <x v="1"/>
    <x v="4"/>
    <x v="1"/>
    <n v="14"/>
    <n v="2662"/>
    <n v="37268"/>
    <n v="21382.41"/>
    <n v="15885.59"/>
    <x v="1"/>
  </r>
  <r>
    <s v="ORD10035"/>
    <d v="2025-10-19T00:00:00"/>
    <x v="1"/>
    <x v="4"/>
    <x v="1"/>
    <s v="Tablet"/>
    <x v="5"/>
    <x v="7"/>
    <x v="1"/>
    <n v="15"/>
    <n v="2941"/>
    <n v="44115"/>
    <n v="29604.799999999999"/>
    <n v="14510.2"/>
    <x v="1"/>
  </r>
  <r>
    <s v="ORD10036"/>
    <d v="2024-01-12T00:00:00"/>
    <x v="3"/>
    <x v="1"/>
    <x v="0"/>
    <s v="Printer Ink"/>
    <x v="4"/>
    <x v="5"/>
    <x v="0"/>
    <n v="17"/>
    <n v="3423"/>
    <n v="58191"/>
    <n v="42462.73"/>
    <n v="15728.27"/>
    <x v="0"/>
  </r>
  <r>
    <s v="ORD10037"/>
    <d v="2024-05-16T00:00:00"/>
    <x v="0"/>
    <x v="1"/>
    <x v="0"/>
    <s v="Printer Ink"/>
    <x v="4"/>
    <x v="3"/>
    <x v="0"/>
    <n v="10"/>
    <n v="4897"/>
    <n v="48970"/>
    <n v="28642.62"/>
    <n v="20327.38"/>
    <x v="0"/>
  </r>
  <r>
    <s v="ORD10038"/>
    <d v="2024-08-28T00:00:00"/>
    <x v="2"/>
    <x v="3"/>
    <x v="2"/>
    <s v="Chair"/>
    <x v="7"/>
    <x v="2"/>
    <x v="1"/>
    <n v="1"/>
    <n v="1105"/>
    <n v="1105"/>
    <n v="665.67"/>
    <n v="439.33"/>
    <x v="0"/>
  </r>
  <r>
    <s v="ORD10039"/>
    <d v="2024-02-18T00:00:00"/>
    <x v="0"/>
    <x v="0"/>
    <x v="2"/>
    <s v="Desk"/>
    <x v="6"/>
    <x v="2"/>
    <x v="1"/>
    <n v="16"/>
    <n v="1557"/>
    <n v="24912"/>
    <n v="14818.06"/>
    <n v="10093.94"/>
    <x v="0"/>
  </r>
  <r>
    <s v="ORD10040"/>
    <d v="2024-01-11T00:00:00"/>
    <x v="3"/>
    <x v="1"/>
    <x v="1"/>
    <s v="Phone"/>
    <x v="2"/>
    <x v="5"/>
    <x v="1"/>
    <n v="10"/>
    <n v="1420"/>
    <n v="14200"/>
    <n v="9523.11"/>
    <n v="4676.8900000000003"/>
    <x v="0"/>
  </r>
  <r>
    <s v="ORD10041"/>
    <d v="2025-11-26T00:00:00"/>
    <x v="2"/>
    <x v="3"/>
    <x v="1"/>
    <s v="Phone"/>
    <x v="2"/>
    <x v="7"/>
    <x v="0"/>
    <n v="1"/>
    <n v="688"/>
    <n v="688"/>
    <n v="538.53"/>
    <n v="149.47"/>
    <x v="1"/>
  </r>
  <r>
    <s v="ORD10042"/>
    <d v="2024-07-06T00:00:00"/>
    <x v="3"/>
    <x v="2"/>
    <x v="0"/>
    <s v="Paper"/>
    <x v="0"/>
    <x v="0"/>
    <x v="0"/>
    <n v="10"/>
    <n v="1748"/>
    <n v="17480"/>
    <n v="10051.93"/>
    <n v="7428.07"/>
    <x v="0"/>
  </r>
  <r>
    <s v="ORD10043"/>
    <d v="2025-04-29T00:00:00"/>
    <x v="3"/>
    <x v="2"/>
    <x v="2"/>
    <s v="Chair"/>
    <x v="7"/>
    <x v="5"/>
    <x v="0"/>
    <n v="2"/>
    <n v="1942"/>
    <n v="3884"/>
    <n v="2899.95"/>
    <n v="984.05"/>
    <x v="1"/>
  </r>
  <r>
    <s v="ORD10044"/>
    <d v="2025-11-14T00:00:00"/>
    <x v="0"/>
    <x v="4"/>
    <x v="0"/>
    <s v="Pen"/>
    <x v="8"/>
    <x v="5"/>
    <x v="0"/>
    <n v="20"/>
    <n v="2034"/>
    <n v="40680"/>
    <n v="28475.8"/>
    <n v="12204.2"/>
    <x v="1"/>
  </r>
  <r>
    <s v="ORD10045"/>
    <d v="2025-04-17T00:00:00"/>
    <x v="3"/>
    <x v="1"/>
    <x v="2"/>
    <s v="Chair"/>
    <x v="7"/>
    <x v="4"/>
    <x v="1"/>
    <n v="10"/>
    <n v="906"/>
    <n v="9060"/>
    <n v="7386.83"/>
    <n v="1673.17"/>
    <x v="1"/>
  </r>
  <r>
    <s v="ORD10046"/>
    <d v="2025-09-24T00:00:00"/>
    <x v="2"/>
    <x v="2"/>
    <x v="0"/>
    <s v="Paper"/>
    <x v="0"/>
    <x v="5"/>
    <x v="1"/>
    <n v="14"/>
    <n v="4145"/>
    <n v="58030"/>
    <n v="42340.05"/>
    <n v="15689.95"/>
    <x v="1"/>
  </r>
  <r>
    <s v="ORD10047"/>
    <d v="2024-08-15T00:00:00"/>
    <x v="1"/>
    <x v="5"/>
    <x v="0"/>
    <s v="Paper"/>
    <x v="0"/>
    <x v="6"/>
    <x v="1"/>
    <n v="6"/>
    <n v="1445"/>
    <n v="8670"/>
    <n v="6426.35"/>
    <n v="2243.65"/>
    <x v="0"/>
  </r>
  <r>
    <s v="ORD10048"/>
    <d v="2024-10-31T00:00:00"/>
    <x v="0"/>
    <x v="2"/>
    <x v="1"/>
    <s v="Phone"/>
    <x v="2"/>
    <x v="1"/>
    <x v="1"/>
    <n v="3"/>
    <n v="1909"/>
    <n v="5727"/>
    <n v="4646.05"/>
    <n v="1080.95"/>
    <x v="0"/>
  </r>
  <r>
    <s v="ORD10049"/>
    <d v="2024-06-22T00:00:00"/>
    <x v="0"/>
    <x v="4"/>
    <x v="1"/>
    <s v="Phone"/>
    <x v="2"/>
    <x v="2"/>
    <x v="1"/>
    <n v="3"/>
    <n v="2285"/>
    <n v="6855"/>
    <n v="4500.6000000000004"/>
    <n v="2354.4"/>
    <x v="0"/>
  </r>
  <r>
    <s v="ORD10050"/>
    <d v="2025-08-03T00:00:00"/>
    <x v="1"/>
    <x v="5"/>
    <x v="0"/>
    <s v="Printer Ink"/>
    <x v="4"/>
    <x v="2"/>
    <x v="1"/>
    <n v="8"/>
    <n v="815"/>
    <n v="6520"/>
    <n v="5267.23"/>
    <n v="1252.77"/>
    <x v="1"/>
  </r>
  <r>
    <s v="ORD10051"/>
    <d v="2025-07-30T00:00:00"/>
    <x v="1"/>
    <x v="1"/>
    <x v="1"/>
    <s v="Tablet"/>
    <x v="5"/>
    <x v="5"/>
    <x v="0"/>
    <n v="2"/>
    <n v="4478"/>
    <n v="8956"/>
    <n v="7060.76"/>
    <n v="1895.24"/>
    <x v="1"/>
  </r>
  <r>
    <s v="ORD10052"/>
    <d v="2024-09-14T00:00:00"/>
    <x v="3"/>
    <x v="5"/>
    <x v="2"/>
    <s v="Chair"/>
    <x v="7"/>
    <x v="1"/>
    <x v="1"/>
    <n v="19"/>
    <n v="4557"/>
    <n v="86583"/>
    <n v="65495.55"/>
    <n v="21087.45"/>
    <x v="0"/>
  </r>
  <r>
    <s v="ORD10053"/>
    <d v="2024-02-27T00:00:00"/>
    <x v="0"/>
    <x v="5"/>
    <x v="0"/>
    <s v="Printer Ink"/>
    <x v="4"/>
    <x v="7"/>
    <x v="0"/>
    <n v="19"/>
    <n v="2420"/>
    <n v="45980"/>
    <n v="26783.5"/>
    <n v="19196.5"/>
    <x v="0"/>
  </r>
  <r>
    <s v="ORD10054"/>
    <d v="2025-07-04T00:00:00"/>
    <x v="1"/>
    <x v="2"/>
    <x v="2"/>
    <s v="Desk"/>
    <x v="6"/>
    <x v="1"/>
    <x v="0"/>
    <n v="12"/>
    <n v="269"/>
    <n v="3228"/>
    <n v="1848.18"/>
    <n v="1379.82"/>
    <x v="1"/>
  </r>
  <r>
    <s v="ORD10055"/>
    <d v="2025-05-02T00:00:00"/>
    <x v="3"/>
    <x v="1"/>
    <x v="2"/>
    <s v="Desk"/>
    <x v="6"/>
    <x v="3"/>
    <x v="0"/>
    <n v="18"/>
    <n v="3406"/>
    <n v="61308"/>
    <n v="45879.96"/>
    <n v="15428.04"/>
    <x v="1"/>
  </r>
  <r>
    <s v="ORD10056"/>
    <d v="2025-11-19T00:00:00"/>
    <x v="3"/>
    <x v="4"/>
    <x v="1"/>
    <s v="Laptop"/>
    <x v="1"/>
    <x v="2"/>
    <x v="1"/>
    <n v="11"/>
    <n v="4749"/>
    <n v="52239"/>
    <n v="30830.17"/>
    <n v="21408.83"/>
    <x v="1"/>
  </r>
  <r>
    <s v="ORD10057"/>
    <d v="2025-06-21T00:00:00"/>
    <x v="1"/>
    <x v="3"/>
    <x v="1"/>
    <s v="Tablet"/>
    <x v="5"/>
    <x v="3"/>
    <x v="0"/>
    <n v="18"/>
    <n v="3573"/>
    <n v="64314"/>
    <n v="43221.83"/>
    <n v="21092.17"/>
    <x v="1"/>
  </r>
  <r>
    <s v="ORD10058"/>
    <d v="2024-11-15T00:00:00"/>
    <x v="3"/>
    <x v="3"/>
    <x v="1"/>
    <s v="Laptop"/>
    <x v="1"/>
    <x v="5"/>
    <x v="0"/>
    <n v="18"/>
    <n v="4103"/>
    <n v="73854"/>
    <n v="42823.73"/>
    <n v="31030.27"/>
    <x v="0"/>
  </r>
  <r>
    <s v="ORD10059"/>
    <d v="2024-10-17T00:00:00"/>
    <x v="3"/>
    <x v="0"/>
    <x v="0"/>
    <s v="Printer Ink"/>
    <x v="4"/>
    <x v="4"/>
    <x v="0"/>
    <n v="1"/>
    <n v="3505"/>
    <n v="3505"/>
    <n v="2113.9299999999998"/>
    <n v="1391.07"/>
    <x v="0"/>
  </r>
  <r>
    <s v="ORD10060"/>
    <d v="2024-01-09T00:00:00"/>
    <x v="0"/>
    <x v="5"/>
    <x v="0"/>
    <s v="Printer Ink"/>
    <x v="4"/>
    <x v="5"/>
    <x v="0"/>
    <n v="3"/>
    <n v="1417"/>
    <n v="4251"/>
    <n v="2584.83"/>
    <n v="1666.17"/>
    <x v="0"/>
  </r>
  <r>
    <s v="ORD10061"/>
    <d v="2025-06-16T00:00:00"/>
    <x v="0"/>
    <x v="3"/>
    <x v="1"/>
    <s v="Tablet"/>
    <x v="5"/>
    <x v="0"/>
    <x v="1"/>
    <n v="4"/>
    <n v="4999"/>
    <n v="19996"/>
    <n v="11066.66"/>
    <n v="8929.34"/>
    <x v="1"/>
  </r>
  <r>
    <s v="ORD10062"/>
    <d v="2024-07-27T00:00:00"/>
    <x v="2"/>
    <x v="1"/>
    <x v="1"/>
    <s v="Tablet"/>
    <x v="5"/>
    <x v="6"/>
    <x v="1"/>
    <n v="17"/>
    <n v="2288"/>
    <n v="38896"/>
    <n v="22741.759999999998"/>
    <n v="16154.24"/>
    <x v="0"/>
  </r>
  <r>
    <s v="ORD10063"/>
    <d v="2025-12-26T00:00:00"/>
    <x v="3"/>
    <x v="3"/>
    <x v="2"/>
    <s v="Cabinet"/>
    <x v="3"/>
    <x v="4"/>
    <x v="1"/>
    <n v="12"/>
    <n v="294"/>
    <n v="3528"/>
    <n v="2981.23"/>
    <n v="546.77"/>
    <x v="1"/>
  </r>
  <r>
    <s v="ORD10064"/>
    <d v="2025-09-01T00:00:00"/>
    <x v="3"/>
    <x v="3"/>
    <x v="2"/>
    <s v="Chair"/>
    <x v="7"/>
    <x v="6"/>
    <x v="0"/>
    <n v="3"/>
    <n v="3640"/>
    <n v="10920"/>
    <n v="6733.49"/>
    <n v="4186.51"/>
    <x v="1"/>
  </r>
  <r>
    <s v="ORD10065"/>
    <d v="2025-10-03T00:00:00"/>
    <x v="3"/>
    <x v="5"/>
    <x v="2"/>
    <s v="Desk"/>
    <x v="6"/>
    <x v="0"/>
    <x v="1"/>
    <n v="8"/>
    <n v="2320"/>
    <n v="18560"/>
    <n v="10498.12"/>
    <n v="8061.88"/>
    <x v="1"/>
  </r>
  <r>
    <s v="ORD10066"/>
    <d v="2024-12-19T00:00:00"/>
    <x v="0"/>
    <x v="2"/>
    <x v="2"/>
    <s v="Chair"/>
    <x v="7"/>
    <x v="6"/>
    <x v="1"/>
    <n v="19"/>
    <n v="2369"/>
    <n v="45011"/>
    <n v="30000.09"/>
    <n v="15010.91"/>
    <x v="0"/>
  </r>
  <r>
    <s v="ORD10067"/>
    <d v="2024-04-05T00:00:00"/>
    <x v="0"/>
    <x v="2"/>
    <x v="1"/>
    <s v="Tablet"/>
    <x v="5"/>
    <x v="4"/>
    <x v="0"/>
    <n v="16"/>
    <n v="459"/>
    <n v="7344"/>
    <n v="4463.7"/>
    <n v="2880.3"/>
    <x v="0"/>
  </r>
  <r>
    <s v="ORD10068"/>
    <d v="2025-11-09T00:00:00"/>
    <x v="2"/>
    <x v="4"/>
    <x v="1"/>
    <s v="Laptop"/>
    <x v="1"/>
    <x v="3"/>
    <x v="0"/>
    <n v="7"/>
    <n v="614"/>
    <n v="4298"/>
    <n v="3079.53"/>
    <n v="1218.47"/>
    <x v="1"/>
  </r>
  <r>
    <s v="ORD10069"/>
    <d v="2025-12-13T00:00:00"/>
    <x v="1"/>
    <x v="2"/>
    <x v="1"/>
    <s v="Phone"/>
    <x v="2"/>
    <x v="7"/>
    <x v="1"/>
    <n v="19"/>
    <n v="4719"/>
    <n v="89661"/>
    <n v="74002.53"/>
    <n v="15658.47"/>
    <x v="1"/>
  </r>
  <r>
    <s v="ORD10070"/>
    <d v="2024-04-13T00:00:00"/>
    <x v="0"/>
    <x v="0"/>
    <x v="2"/>
    <s v="Cabinet"/>
    <x v="3"/>
    <x v="1"/>
    <x v="0"/>
    <n v="20"/>
    <n v="1639"/>
    <n v="32780"/>
    <n v="25408.400000000001"/>
    <n v="7371.6"/>
    <x v="0"/>
  </r>
  <r>
    <s v="ORD10071"/>
    <d v="2024-01-26T00:00:00"/>
    <x v="3"/>
    <x v="3"/>
    <x v="2"/>
    <s v="Cabinet"/>
    <x v="3"/>
    <x v="6"/>
    <x v="1"/>
    <n v="9"/>
    <n v="3866"/>
    <n v="34794"/>
    <n v="20641.669999999998"/>
    <n v="14152.33"/>
    <x v="0"/>
  </r>
  <r>
    <s v="ORD10072"/>
    <d v="2024-04-15T00:00:00"/>
    <x v="2"/>
    <x v="1"/>
    <x v="1"/>
    <s v="Tablet"/>
    <x v="5"/>
    <x v="4"/>
    <x v="0"/>
    <n v="9"/>
    <n v="2162"/>
    <n v="19458"/>
    <n v="15107.96"/>
    <n v="4350.04"/>
    <x v="0"/>
  </r>
  <r>
    <s v="ORD10073"/>
    <d v="2024-05-18T00:00:00"/>
    <x v="1"/>
    <x v="2"/>
    <x v="2"/>
    <s v="Cabinet"/>
    <x v="3"/>
    <x v="4"/>
    <x v="1"/>
    <n v="7"/>
    <n v="383"/>
    <n v="2681"/>
    <n v="2195.88"/>
    <n v="485.12"/>
    <x v="0"/>
  </r>
  <r>
    <s v="ORD10074"/>
    <d v="2025-10-30T00:00:00"/>
    <x v="0"/>
    <x v="5"/>
    <x v="2"/>
    <s v="Cabinet"/>
    <x v="3"/>
    <x v="6"/>
    <x v="1"/>
    <n v="19"/>
    <n v="3805"/>
    <n v="72295"/>
    <n v="55918.27"/>
    <n v="16376.73"/>
    <x v="1"/>
  </r>
  <r>
    <s v="ORD10075"/>
    <d v="2025-11-13T00:00:00"/>
    <x v="0"/>
    <x v="2"/>
    <x v="0"/>
    <s v="Printer Ink"/>
    <x v="4"/>
    <x v="6"/>
    <x v="0"/>
    <n v="11"/>
    <n v="2775"/>
    <n v="30525"/>
    <n v="22382.76"/>
    <n v="8142.24"/>
    <x v="1"/>
  </r>
  <r>
    <s v="ORD10076"/>
    <d v="2025-03-03T00:00:00"/>
    <x v="1"/>
    <x v="3"/>
    <x v="2"/>
    <s v="Chair"/>
    <x v="7"/>
    <x v="6"/>
    <x v="0"/>
    <n v="4"/>
    <n v="4340"/>
    <n v="17360"/>
    <n v="9867.98"/>
    <n v="7492.02"/>
    <x v="1"/>
  </r>
  <r>
    <s v="ORD10077"/>
    <d v="2024-08-10T00:00:00"/>
    <x v="0"/>
    <x v="2"/>
    <x v="1"/>
    <s v="Tablet"/>
    <x v="5"/>
    <x v="7"/>
    <x v="1"/>
    <n v="11"/>
    <n v="222"/>
    <n v="2442"/>
    <n v="1951.95"/>
    <n v="490.05"/>
    <x v="0"/>
  </r>
  <r>
    <s v="ORD10078"/>
    <d v="2024-04-01T00:00:00"/>
    <x v="1"/>
    <x v="4"/>
    <x v="1"/>
    <s v="Phone"/>
    <x v="2"/>
    <x v="2"/>
    <x v="0"/>
    <n v="18"/>
    <n v="3195"/>
    <n v="57510"/>
    <n v="41222.83"/>
    <n v="16287.17"/>
    <x v="0"/>
  </r>
  <r>
    <s v="ORD10079"/>
    <d v="2024-12-02T00:00:00"/>
    <x v="1"/>
    <x v="5"/>
    <x v="2"/>
    <s v="Desk"/>
    <x v="6"/>
    <x v="6"/>
    <x v="0"/>
    <n v="4"/>
    <n v="4025"/>
    <n v="16100"/>
    <n v="12673.04"/>
    <n v="3426.96"/>
    <x v="0"/>
  </r>
  <r>
    <s v="ORD10080"/>
    <d v="2024-04-03T00:00:00"/>
    <x v="2"/>
    <x v="5"/>
    <x v="2"/>
    <s v="Cabinet"/>
    <x v="3"/>
    <x v="2"/>
    <x v="1"/>
    <n v="7"/>
    <n v="1267"/>
    <n v="8869"/>
    <n v="6312.39"/>
    <n v="2556.61"/>
    <x v="0"/>
  </r>
  <r>
    <s v="ORD10081"/>
    <d v="2024-08-05T00:00:00"/>
    <x v="1"/>
    <x v="5"/>
    <x v="1"/>
    <s v="Laptop"/>
    <x v="1"/>
    <x v="6"/>
    <x v="0"/>
    <n v="5"/>
    <n v="2931"/>
    <n v="14655"/>
    <n v="11445.26"/>
    <n v="3209.74"/>
    <x v="0"/>
  </r>
  <r>
    <s v="ORD10082"/>
    <d v="2025-02-13T00:00:00"/>
    <x v="1"/>
    <x v="4"/>
    <x v="1"/>
    <s v="Tablet"/>
    <x v="5"/>
    <x v="7"/>
    <x v="0"/>
    <n v="3"/>
    <n v="730"/>
    <n v="2190"/>
    <n v="1416.97"/>
    <n v="773.03"/>
    <x v="1"/>
  </r>
  <r>
    <s v="ORD10083"/>
    <d v="2024-10-08T00:00:00"/>
    <x v="0"/>
    <x v="5"/>
    <x v="1"/>
    <s v="Tablet"/>
    <x v="5"/>
    <x v="1"/>
    <x v="1"/>
    <n v="4"/>
    <n v="4494"/>
    <n v="17976"/>
    <n v="13235.9"/>
    <n v="4740.1000000000004"/>
    <x v="0"/>
  </r>
  <r>
    <s v="ORD10084"/>
    <d v="2025-07-28T00:00:00"/>
    <x v="0"/>
    <x v="0"/>
    <x v="1"/>
    <s v="Laptop"/>
    <x v="1"/>
    <x v="6"/>
    <x v="1"/>
    <n v="15"/>
    <n v="3028"/>
    <n v="45420"/>
    <n v="30528.31"/>
    <n v="14891.69"/>
    <x v="1"/>
  </r>
  <r>
    <s v="ORD10085"/>
    <d v="2024-11-01T00:00:00"/>
    <x v="1"/>
    <x v="0"/>
    <x v="2"/>
    <s v="Cabinet"/>
    <x v="3"/>
    <x v="1"/>
    <x v="0"/>
    <n v="15"/>
    <n v="4706"/>
    <n v="70590"/>
    <n v="42099.3"/>
    <n v="28490.7"/>
    <x v="0"/>
  </r>
  <r>
    <s v="ORD10086"/>
    <d v="2025-07-02T00:00:00"/>
    <x v="1"/>
    <x v="5"/>
    <x v="2"/>
    <s v="Desk"/>
    <x v="6"/>
    <x v="0"/>
    <x v="0"/>
    <n v="10"/>
    <n v="4061"/>
    <n v="40610"/>
    <n v="32372.54"/>
    <n v="8237.4599999999991"/>
    <x v="1"/>
  </r>
  <r>
    <s v="ORD10087"/>
    <d v="2024-02-18T00:00:00"/>
    <x v="0"/>
    <x v="4"/>
    <x v="1"/>
    <s v="Laptop"/>
    <x v="1"/>
    <x v="7"/>
    <x v="0"/>
    <n v="20"/>
    <n v="3183"/>
    <n v="63660"/>
    <n v="53617.2"/>
    <n v="10042.799999999999"/>
    <x v="0"/>
  </r>
  <r>
    <s v="ORD10088"/>
    <d v="2024-12-27T00:00:00"/>
    <x v="2"/>
    <x v="0"/>
    <x v="0"/>
    <s v="Pen"/>
    <x v="8"/>
    <x v="7"/>
    <x v="1"/>
    <n v="20"/>
    <n v="3940"/>
    <n v="78800"/>
    <n v="57351.81"/>
    <n v="21448.19"/>
    <x v="0"/>
  </r>
  <r>
    <s v="ORD10089"/>
    <d v="2025-09-01T00:00:00"/>
    <x v="2"/>
    <x v="2"/>
    <x v="2"/>
    <s v="Cabinet"/>
    <x v="3"/>
    <x v="1"/>
    <x v="1"/>
    <n v="9"/>
    <n v="3946"/>
    <n v="35514"/>
    <n v="20057.34"/>
    <n v="15456.66"/>
    <x v="1"/>
  </r>
  <r>
    <s v="ORD10090"/>
    <d v="2024-12-19T00:00:00"/>
    <x v="3"/>
    <x v="2"/>
    <x v="2"/>
    <s v="Chair"/>
    <x v="7"/>
    <x v="2"/>
    <x v="1"/>
    <n v="7"/>
    <n v="3712"/>
    <n v="25984"/>
    <n v="20792.330000000002"/>
    <n v="5191.67"/>
    <x v="0"/>
  </r>
  <r>
    <s v="ORD10091"/>
    <d v="2024-12-27T00:00:00"/>
    <x v="2"/>
    <x v="0"/>
    <x v="2"/>
    <s v="Desk"/>
    <x v="6"/>
    <x v="0"/>
    <x v="1"/>
    <n v="16"/>
    <n v="3119"/>
    <n v="49904"/>
    <n v="32266.959999999999"/>
    <n v="17637.04"/>
    <x v="0"/>
  </r>
  <r>
    <s v="ORD10092"/>
    <d v="2025-10-06T00:00:00"/>
    <x v="1"/>
    <x v="2"/>
    <x v="2"/>
    <s v="Desk"/>
    <x v="6"/>
    <x v="4"/>
    <x v="0"/>
    <n v="7"/>
    <n v="2392"/>
    <n v="16744"/>
    <n v="12953.3"/>
    <n v="3790.7"/>
    <x v="1"/>
  </r>
  <r>
    <s v="ORD10093"/>
    <d v="2024-03-20T00:00:00"/>
    <x v="3"/>
    <x v="5"/>
    <x v="0"/>
    <s v="Paper"/>
    <x v="0"/>
    <x v="0"/>
    <x v="1"/>
    <n v="14"/>
    <n v="3738"/>
    <n v="52332"/>
    <n v="32642.2"/>
    <n v="19689.8"/>
    <x v="0"/>
  </r>
  <r>
    <s v="ORD10094"/>
    <d v="2025-03-17T00:00:00"/>
    <x v="3"/>
    <x v="0"/>
    <x v="1"/>
    <s v="Tablet"/>
    <x v="5"/>
    <x v="2"/>
    <x v="0"/>
    <n v="2"/>
    <n v="4236"/>
    <n v="8472"/>
    <n v="6722.46"/>
    <n v="1749.54"/>
    <x v="1"/>
  </r>
  <r>
    <s v="ORD10095"/>
    <d v="2024-08-04T00:00:00"/>
    <x v="1"/>
    <x v="1"/>
    <x v="2"/>
    <s v="Cabinet"/>
    <x v="3"/>
    <x v="5"/>
    <x v="0"/>
    <n v="7"/>
    <n v="3523"/>
    <n v="24661"/>
    <n v="18214.98"/>
    <n v="6446.02"/>
    <x v="0"/>
  </r>
  <r>
    <s v="ORD10096"/>
    <d v="2025-04-21T00:00:00"/>
    <x v="0"/>
    <x v="5"/>
    <x v="1"/>
    <s v="Tablet"/>
    <x v="5"/>
    <x v="2"/>
    <x v="1"/>
    <n v="14"/>
    <n v="3670"/>
    <n v="51380"/>
    <n v="32054.52"/>
    <n v="19325.48"/>
    <x v="1"/>
  </r>
  <r>
    <s v="ORD10097"/>
    <d v="2024-01-02T00:00:00"/>
    <x v="3"/>
    <x v="3"/>
    <x v="2"/>
    <s v="Cabinet"/>
    <x v="3"/>
    <x v="4"/>
    <x v="0"/>
    <n v="4"/>
    <n v="1761"/>
    <n v="7044"/>
    <n v="5056.4799999999996"/>
    <n v="1987.52"/>
    <x v="0"/>
  </r>
  <r>
    <s v="ORD10098"/>
    <d v="2025-10-12T00:00:00"/>
    <x v="3"/>
    <x v="0"/>
    <x v="0"/>
    <s v="Pen"/>
    <x v="8"/>
    <x v="5"/>
    <x v="0"/>
    <n v="16"/>
    <n v="3712"/>
    <n v="59392"/>
    <n v="48489.2"/>
    <n v="10902.8"/>
    <x v="1"/>
  </r>
  <r>
    <s v="ORD10099"/>
    <d v="2024-02-21T00:00:00"/>
    <x v="0"/>
    <x v="0"/>
    <x v="2"/>
    <s v="Desk"/>
    <x v="6"/>
    <x v="2"/>
    <x v="1"/>
    <n v="20"/>
    <n v="3361"/>
    <n v="67220"/>
    <n v="39482.589999999997"/>
    <n v="27737.41"/>
    <x v="0"/>
  </r>
  <r>
    <s v="ORD10100"/>
    <d v="2024-03-19T00:00:00"/>
    <x v="0"/>
    <x v="5"/>
    <x v="2"/>
    <s v="Desk"/>
    <x v="6"/>
    <x v="3"/>
    <x v="0"/>
    <n v="8"/>
    <n v="287"/>
    <n v="2296"/>
    <n v="1536.94"/>
    <n v="759.06"/>
    <x v="0"/>
  </r>
  <r>
    <s v="ORD10101"/>
    <d v="2025-12-02T00:00:00"/>
    <x v="0"/>
    <x v="1"/>
    <x v="2"/>
    <s v="Desk"/>
    <x v="6"/>
    <x v="3"/>
    <x v="0"/>
    <n v="5"/>
    <n v="4553"/>
    <n v="22765"/>
    <n v="17584.52"/>
    <n v="5180.4799999999996"/>
    <x v="1"/>
  </r>
  <r>
    <s v="ORD10102"/>
    <d v="2025-09-14T00:00:00"/>
    <x v="3"/>
    <x v="1"/>
    <x v="0"/>
    <s v="Pen"/>
    <x v="8"/>
    <x v="7"/>
    <x v="1"/>
    <n v="1"/>
    <n v="146"/>
    <n v="146"/>
    <n v="94.57"/>
    <n v="51.43"/>
    <x v="1"/>
  </r>
  <r>
    <s v="ORD10103"/>
    <d v="2025-05-05T00:00:00"/>
    <x v="0"/>
    <x v="5"/>
    <x v="0"/>
    <s v="Paper"/>
    <x v="0"/>
    <x v="6"/>
    <x v="1"/>
    <n v="8"/>
    <n v="696"/>
    <n v="5568"/>
    <n v="4496.68"/>
    <n v="1071.32"/>
    <x v="1"/>
  </r>
  <r>
    <s v="ORD10104"/>
    <d v="2025-11-24T00:00:00"/>
    <x v="1"/>
    <x v="4"/>
    <x v="1"/>
    <s v="Tablet"/>
    <x v="5"/>
    <x v="3"/>
    <x v="0"/>
    <n v="16"/>
    <n v="4056"/>
    <n v="64896"/>
    <n v="48760.73"/>
    <n v="16135.27"/>
    <x v="1"/>
  </r>
  <r>
    <s v="ORD10105"/>
    <d v="2025-02-07T00:00:00"/>
    <x v="0"/>
    <x v="1"/>
    <x v="0"/>
    <s v="Printer Ink"/>
    <x v="4"/>
    <x v="1"/>
    <x v="0"/>
    <n v="17"/>
    <n v="2432"/>
    <n v="41344"/>
    <n v="30070.81"/>
    <n v="11273.19"/>
    <x v="1"/>
  </r>
  <r>
    <s v="ORD10106"/>
    <d v="2024-11-21T00:00:00"/>
    <x v="3"/>
    <x v="1"/>
    <x v="2"/>
    <s v="Chair"/>
    <x v="7"/>
    <x v="5"/>
    <x v="0"/>
    <n v="19"/>
    <n v="3353"/>
    <n v="63707"/>
    <n v="42578.48"/>
    <n v="21128.52"/>
    <x v="0"/>
  </r>
  <r>
    <s v="ORD10107"/>
    <d v="2024-11-11T00:00:00"/>
    <x v="1"/>
    <x v="1"/>
    <x v="1"/>
    <s v="Phone"/>
    <x v="2"/>
    <x v="6"/>
    <x v="0"/>
    <n v="15"/>
    <n v="4509"/>
    <n v="67635"/>
    <n v="41682.26"/>
    <n v="25952.74"/>
    <x v="0"/>
  </r>
  <r>
    <s v="ORD10108"/>
    <d v="2025-07-30T00:00:00"/>
    <x v="1"/>
    <x v="1"/>
    <x v="0"/>
    <s v="Printer Ink"/>
    <x v="4"/>
    <x v="1"/>
    <x v="1"/>
    <n v="5"/>
    <n v="3332"/>
    <n v="16660"/>
    <n v="13809.77"/>
    <n v="2850.23"/>
    <x v="1"/>
  </r>
  <r>
    <s v="ORD10109"/>
    <d v="2025-05-14T00:00:00"/>
    <x v="1"/>
    <x v="5"/>
    <x v="2"/>
    <s v="Cabinet"/>
    <x v="3"/>
    <x v="3"/>
    <x v="1"/>
    <n v="9"/>
    <n v="1270"/>
    <n v="11430"/>
    <n v="7806.13"/>
    <n v="3623.87"/>
    <x v="1"/>
  </r>
  <r>
    <s v="ORD10110"/>
    <d v="2024-09-22T00:00:00"/>
    <x v="0"/>
    <x v="5"/>
    <x v="2"/>
    <s v="Desk"/>
    <x v="6"/>
    <x v="0"/>
    <x v="0"/>
    <n v="11"/>
    <n v="401"/>
    <n v="4411"/>
    <n v="3276.09"/>
    <n v="1134.9100000000001"/>
    <x v="0"/>
  </r>
  <r>
    <s v="ORD10111"/>
    <d v="2025-08-11T00:00:00"/>
    <x v="1"/>
    <x v="1"/>
    <x v="1"/>
    <s v="Phone"/>
    <x v="2"/>
    <x v="2"/>
    <x v="1"/>
    <n v="12"/>
    <n v="2087"/>
    <n v="25044"/>
    <n v="19573.73"/>
    <n v="5470.27"/>
    <x v="1"/>
  </r>
  <r>
    <s v="ORD10112"/>
    <d v="2025-11-13T00:00:00"/>
    <x v="2"/>
    <x v="0"/>
    <x v="0"/>
    <s v="Paper"/>
    <x v="0"/>
    <x v="4"/>
    <x v="1"/>
    <n v="7"/>
    <n v="3871"/>
    <n v="27097"/>
    <n v="18799.79"/>
    <n v="8297.2099999999991"/>
    <x v="1"/>
  </r>
  <r>
    <s v="ORD10113"/>
    <d v="2025-02-09T00:00:00"/>
    <x v="0"/>
    <x v="0"/>
    <x v="1"/>
    <s v="Tablet"/>
    <x v="5"/>
    <x v="0"/>
    <x v="1"/>
    <n v="6"/>
    <n v="2057"/>
    <n v="12342"/>
    <n v="10089.5"/>
    <n v="2252.5"/>
    <x v="1"/>
  </r>
  <r>
    <s v="ORD10114"/>
    <d v="2025-01-29T00:00:00"/>
    <x v="2"/>
    <x v="4"/>
    <x v="2"/>
    <s v="Cabinet"/>
    <x v="3"/>
    <x v="2"/>
    <x v="1"/>
    <n v="13"/>
    <n v="4438"/>
    <n v="57694"/>
    <n v="35791.800000000003"/>
    <n v="21902.2"/>
    <x v="1"/>
  </r>
  <r>
    <s v="ORD10115"/>
    <d v="2024-06-24T00:00:00"/>
    <x v="3"/>
    <x v="2"/>
    <x v="1"/>
    <s v="Laptop"/>
    <x v="1"/>
    <x v="2"/>
    <x v="0"/>
    <n v="20"/>
    <n v="2534"/>
    <n v="50680"/>
    <n v="42501.05"/>
    <n v="8178.95"/>
    <x v="0"/>
  </r>
  <r>
    <s v="ORD10116"/>
    <d v="2025-06-26T00:00:00"/>
    <x v="3"/>
    <x v="5"/>
    <x v="1"/>
    <s v="Phone"/>
    <x v="2"/>
    <x v="2"/>
    <x v="0"/>
    <n v="12"/>
    <n v="908"/>
    <n v="10896"/>
    <n v="6440.27"/>
    <n v="4455.7299999999996"/>
    <x v="1"/>
  </r>
  <r>
    <s v="ORD10117"/>
    <d v="2024-08-26T00:00:00"/>
    <x v="3"/>
    <x v="1"/>
    <x v="2"/>
    <s v="Cabinet"/>
    <x v="3"/>
    <x v="7"/>
    <x v="1"/>
    <n v="8"/>
    <n v="2918"/>
    <n v="23344"/>
    <n v="17067.189999999999"/>
    <n v="6276.81"/>
    <x v="0"/>
  </r>
  <r>
    <s v="ORD10118"/>
    <d v="2024-10-31T00:00:00"/>
    <x v="2"/>
    <x v="4"/>
    <x v="1"/>
    <s v="Tablet"/>
    <x v="5"/>
    <x v="3"/>
    <x v="0"/>
    <n v="16"/>
    <n v="4600"/>
    <n v="73600"/>
    <n v="47649.18"/>
    <n v="25950.82"/>
    <x v="0"/>
  </r>
  <r>
    <s v="ORD10119"/>
    <d v="2024-12-16T00:00:00"/>
    <x v="1"/>
    <x v="0"/>
    <x v="0"/>
    <s v="Printer Ink"/>
    <x v="4"/>
    <x v="3"/>
    <x v="1"/>
    <n v="14"/>
    <n v="4988"/>
    <n v="69832"/>
    <n v="56777.599999999999"/>
    <n v="13054.4"/>
    <x v="0"/>
  </r>
  <r>
    <s v="ORD10120"/>
    <d v="2024-05-01T00:00:00"/>
    <x v="3"/>
    <x v="1"/>
    <x v="1"/>
    <s v="Laptop"/>
    <x v="1"/>
    <x v="0"/>
    <x v="0"/>
    <n v="15"/>
    <n v="1637"/>
    <n v="24555"/>
    <n v="20342.009999999998"/>
    <n v="4212.99"/>
    <x v="0"/>
  </r>
  <r>
    <s v="ORD10121"/>
    <d v="2024-02-10T00:00:00"/>
    <x v="0"/>
    <x v="0"/>
    <x v="1"/>
    <s v="Phone"/>
    <x v="2"/>
    <x v="6"/>
    <x v="0"/>
    <n v="7"/>
    <n v="1432"/>
    <n v="10024"/>
    <n v="8345.73"/>
    <n v="1678.27"/>
    <x v="0"/>
  </r>
  <r>
    <s v="ORD10122"/>
    <d v="2024-10-04T00:00:00"/>
    <x v="1"/>
    <x v="4"/>
    <x v="1"/>
    <s v="Laptop"/>
    <x v="1"/>
    <x v="3"/>
    <x v="1"/>
    <n v="4"/>
    <n v="2952"/>
    <n v="11808"/>
    <n v="7403.8"/>
    <n v="4404.2"/>
    <x v="0"/>
  </r>
  <r>
    <s v="ORD10123"/>
    <d v="2024-05-06T00:00:00"/>
    <x v="2"/>
    <x v="3"/>
    <x v="0"/>
    <s v="Paper"/>
    <x v="0"/>
    <x v="5"/>
    <x v="0"/>
    <n v="5"/>
    <n v="2172"/>
    <n v="10860"/>
    <n v="6326.13"/>
    <n v="4533.87"/>
    <x v="0"/>
  </r>
  <r>
    <s v="ORD10124"/>
    <d v="2025-05-07T00:00:00"/>
    <x v="1"/>
    <x v="1"/>
    <x v="0"/>
    <s v="Paper"/>
    <x v="0"/>
    <x v="7"/>
    <x v="0"/>
    <n v="16"/>
    <n v="3285"/>
    <n v="52560"/>
    <n v="34575.379999999997"/>
    <n v="17984.62"/>
    <x v="1"/>
  </r>
  <r>
    <s v="ORD10125"/>
    <d v="2025-11-04T00:00:00"/>
    <x v="0"/>
    <x v="2"/>
    <x v="2"/>
    <s v="Desk"/>
    <x v="6"/>
    <x v="4"/>
    <x v="0"/>
    <n v="5"/>
    <n v="3241"/>
    <n v="16205"/>
    <n v="9845.34"/>
    <n v="6359.66"/>
    <x v="1"/>
  </r>
  <r>
    <s v="ORD10126"/>
    <d v="2025-01-22T00:00:00"/>
    <x v="3"/>
    <x v="2"/>
    <x v="0"/>
    <s v="Printer Ink"/>
    <x v="4"/>
    <x v="0"/>
    <x v="1"/>
    <n v="17"/>
    <n v="2342"/>
    <n v="39814"/>
    <n v="25540.85"/>
    <n v="14273.15"/>
    <x v="1"/>
  </r>
  <r>
    <s v="ORD10127"/>
    <d v="2024-01-19T00:00:00"/>
    <x v="0"/>
    <x v="0"/>
    <x v="2"/>
    <s v="Desk"/>
    <x v="6"/>
    <x v="6"/>
    <x v="1"/>
    <n v="2"/>
    <n v="3026"/>
    <n v="6052"/>
    <n v="4596.8999999999996"/>
    <n v="1455.1"/>
    <x v="0"/>
  </r>
  <r>
    <s v="ORD10128"/>
    <d v="2024-03-30T00:00:00"/>
    <x v="0"/>
    <x v="2"/>
    <x v="1"/>
    <s v="Phone"/>
    <x v="2"/>
    <x v="1"/>
    <x v="1"/>
    <n v="15"/>
    <n v="1960"/>
    <n v="29400"/>
    <n v="24176.13"/>
    <n v="5223.87"/>
    <x v="0"/>
  </r>
  <r>
    <s v="ORD10129"/>
    <d v="2025-07-23T00:00:00"/>
    <x v="2"/>
    <x v="2"/>
    <x v="2"/>
    <s v="Desk"/>
    <x v="6"/>
    <x v="6"/>
    <x v="1"/>
    <n v="13"/>
    <n v="972"/>
    <n v="12636"/>
    <n v="10474.790000000001"/>
    <n v="2161.21"/>
    <x v="1"/>
  </r>
  <r>
    <s v="ORD10130"/>
    <d v="2024-03-16T00:00:00"/>
    <x v="2"/>
    <x v="1"/>
    <x v="1"/>
    <s v="Phone"/>
    <x v="2"/>
    <x v="5"/>
    <x v="1"/>
    <n v="9"/>
    <n v="2259"/>
    <n v="20331"/>
    <n v="14741.86"/>
    <n v="5589.14"/>
    <x v="0"/>
  </r>
  <r>
    <s v="ORD10131"/>
    <d v="2024-05-07T00:00:00"/>
    <x v="3"/>
    <x v="0"/>
    <x v="2"/>
    <s v="Desk"/>
    <x v="6"/>
    <x v="6"/>
    <x v="0"/>
    <n v="1"/>
    <n v="898"/>
    <n v="898"/>
    <n v="576.22"/>
    <n v="321.77999999999997"/>
    <x v="0"/>
  </r>
  <r>
    <s v="ORD10132"/>
    <d v="2025-10-30T00:00:00"/>
    <x v="3"/>
    <x v="2"/>
    <x v="2"/>
    <s v="Desk"/>
    <x v="6"/>
    <x v="6"/>
    <x v="1"/>
    <n v="7"/>
    <n v="960"/>
    <n v="6720"/>
    <n v="4064.35"/>
    <n v="2655.65"/>
    <x v="1"/>
  </r>
  <r>
    <s v="ORD10133"/>
    <d v="2024-03-17T00:00:00"/>
    <x v="1"/>
    <x v="1"/>
    <x v="2"/>
    <s v="Cabinet"/>
    <x v="3"/>
    <x v="0"/>
    <x v="1"/>
    <n v="18"/>
    <n v="4938"/>
    <n v="88884"/>
    <n v="65509.18"/>
    <n v="23374.82"/>
    <x v="0"/>
  </r>
  <r>
    <s v="ORD10134"/>
    <d v="2024-01-29T00:00:00"/>
    <x v="0"/>
    <x v="3"/>
    <x v="1"/>
    <s v="Laptop"/>
    <x v="1"/>
    <x v="3"/>
    <x v="1"/>
    <n v="9"/>
    <n v="2620"/>
    <n v="23580"/>
    <n v="17057.169999999998"/>
    <n v="6522.83"/>
    <x v="0"/>
  </r>
  <r>
    <s v="ORD10135"/>
    <d v="2025-08-13T00:00:00"/>
    <x v="1"/>
    <x v="3"/>
    <x v="1"/>
    <s v="Laptop"/>
    <x v="1"/>
    <x v="6"/>
    <x v="0"/>
    <n v="10"/>
    <n v="3088"/>
    <n v="30880"/>
    <n v="20261.13"/>
    <n v="10618.87"/>
    <x v="1"/>
  </r>
  <r>
    <s v="ORD10136"/>
    <d v="2025-05-16T00:00:00"/>
    <x v="2"/>
    <x v="5"/>
    <x v="0"/>
    <s v="Paper"/>
    <x v="0"/>
    <x v="5"/>
    <x v="1"/>
    <n v="14"/>
    <n v="458"/>
    <n v="6412"/>
    <n v="3581.07"/>
    <n v="2830.93"/>
    <x v="1"/>
  </r>
  <r>
    <s v="ORD10137"/>
    <d v="2024-02-28T00:00:00"/>
    <x v="3"/>
    <x v="0"/>
    <x v="1"/>
    <s v="Phone"/>
    <x v="2"/>
    <x v="0"/>
    <x v="0"/>
    <n v="11"/>
    <n v="3880"/>
    <n v="42680"/>
    <n v="31672.560000000001"/>
    <n v="11007.44"/>
    <x v="0"/>
  </r>
  <r>
    <s v="ORD10138"/>
    <d v="2024-02-16T00:00:00"/>
    <x v="2"/>
    <x v="1"/>
    <x v="2"/>
    <s v="Desk"/>
    <x v="6"/>
    <x v="0"/>
    <x v="1"/>
    <n v="17"/>
    <n v="4770"/>
    <n v="81090"/>
    <n v="64471.92"/>
    <n v="16618.080000000002"/>
    <x v="0"/>
  </r>
  <r>
    <s v="ORD10139"/>
    <d v="2024-01-30T00:00:00"/>
    <x v="0"/>
    <x v="1"/>
    <x v="1"/>
    <s v="Tablet"/>
    <x v="5"/>
    <x v="3"/>
    <x v="0"/>
    <n v="15"/>
    <n v="3021"/>
    <n v="45315"/>
    <n v="26650"/>
    <n v="18665"/>
    <x v="0"/>
  </r>
  <r>
    <s v="ORD10140"/>
    <d v="2025-10-11T00:00:00"/>
    <x v="2"/>
    <x v="5"/>
    <x v="1"/>
    <s v="Tablet"/>
    <x v="5"/>
    <x v="7"/>
    <x v="0"/>
    <n v="9"/>
    <n v="2891"/>
    <n v="26019"/>
    <n v="18259.759999999998"/>
    <n v="7759.24"/>
    <x v="1"/>
  </r>
  <r>
    <s v="ORD10141"/>
    <d v="2025-08-07T00:00:00"/>
    <x v="2"/>
    <x v="5"/>
    <x v="2"/>
    <s v="Cabinet"/>
    <x v="3"/>
    <x v="0"/>
    <x v="0"/>
    <n v="4"/>
    <n v="3481"/>
    <n v="13924"/>
    <n v="8891.02"/>
    <n v="5032.9799999999996"/>
    <x v="1"/>
  </r>
  <r>
    <s v="ORD10142"/>
    <d v="2024-01-09T00:00:00"/>
    <x v="1"/>
    <x v="3"/>
    <x v="1"/>
    <s v="Phone"/>
    <x v="2"/>
    <x v="3"/>
    <x v="1"/>
    <n v="15"/>
    <n v="2529"/>
    <n v="37935"/>
    <n v="21539.87"/>
    <n v="16395.13"/>
    <x v="0"/>
  </r>
  <r>
    <s v="ORD10143"/>
    <d v="2024-07-20T00:00:00"/>
    <x v="2"/>
    <x v="4"/>
    <x v="0"/>
    <s v="Paper"/>
    <x v="0"/>
    <x v="2"/>
    <x v="0"/>
    <n v="1"/>
    <n v="3031"/>
    <n v="3031"/>
    <n v="2510.69"/>
    <n v="520.30999999999995"/>
    <x v="0"/>
  </r>
  <r>
    <s v="ORD10144"/>
    <d v="2024-04-12T00:00:00"/>
    <x v="0"/>
    <x v="5"/>
    <x v="1"/>
    <s v="Phone"/>
    <x v="2"/>
    <x v="5"/>
    <x v="1"/>
    <n v="4"/>
    <n v="3513"/>
    <n v="14052"/>
    <n v="7735.56"/>
    <n v="6316.44"/>
    <x v="0"/>
  </r>
  <r>
    <s v="ORD10145"/>
    <d v="2025-12-04T00:00:00"/>
    <x v="3"/>
    <x v="2"/>
    <x v="0"/>
    <s v="Pen"/>
    <x v="8"/>
    <x v="6"/>
    <x v="1"/>
    <n v="16"/>
    <n v="795"/>
    <n v="12720"/>
    <n v="9243.8700000000008"/>
    <n v="3476.13"/>
    <x v="1"/>
  </r>
  <r>
    <s v="ORD10146"/>
    <d v="2024-03-14T00:00:00"/>
    <x v="0"/>
    <x v="1"/>
    <x v="1"/>
    <s v="Tablet"/>
    <x v="5"/>
    <x v="0"/>
    <x v="1"/>
    <n v="4"/>
    <n v="4925"/>
    <n v="19700"/>
    <n v="13744.95"/>
    <n v="5955.05"/>
    <x v="0"/>
  </r>
  <r>
    <s v="ORD10147"/>
    <d v="2024-05-17T00:00:00"/>
    <x v="1"/>
    <x v="1"/>
    <x v="2"/>
    <s v="Desk"/>
    <x v="6"/>
    <x v="1"/>
    <x v="0"/>
    <n v="19"/>
    <n v="4238"/>
    <n v="80522"/>
    <n v="58819.88"/>
    <n v="21702.12"/>
    <x v="0"/>
  </r>
  <r>
    <s v="ORD10148"/>
    <d v="2025-04-21T00:00:00"/>
    <x v="1"/>
    <x v="3"/>
    <x v="0"/>
    <s v="Paper"/>
    <x v="0"/>
    <x v="5"/>
    <x v="0"/>
    <n v="9"/>
    <n v="2213"/>
    <n v="19917"/>
    <n v="13417.08"/>
    <n v="6499.92"/>
    <x v="1"/>
  </r>
  <r>
    <s v="ORD10149"/>
    <d v="2025-05-11T00:00:00"/>
    <x v="2"/>
    <x v="2"/>
    <x v="2"/>
    <s v="Chair"/>
    <x v="7"/>
    <x v="3"/>
    <x v="0"/>
    <n v="16"/>
    <n v="1137"/>
    <n v="18192"/>
    <n v="11302.17"/>
    <n v="6889.83"/>
    <x v="1"/>
  </r>
  <r>
    <s v="ORD10150"/>
    <d v="2024-12-28T00:00:00"/>
    <x v="2"/>
    <x v="4"/>
    <x v="1"/>
    <s v="Laptop"/>
    <x v="1"/>
    <x v="3"/>
    <x v="1"/>
    <n v="11"/>
    <n v="3295"/>
    <n v="36245"/>
    <n v="21793.87"/>
    <n v="14451.13"/>
    <x v="0"/>
  </r>
  <r>
    <s v="ORD10151"/>
    <d v="2024-12-02T00:00:00"/>
    <x v="1"/>
    <x v="5"/>
    <x v="0"/>
    <s v="Paper"/>
    <x v="0"/>
    <x v="3"/>
    <x v="0"/>
    <n v="7"/>
    <n v="3770"/>
    <n v="26390"/>
    <n v="21733.11"/>
    <n v="4656.8900000000003"/>
    <x v="0"/>
  </r>
  <r>
    <s v="ORD10152"/>
    <d v="2024-12-02T00:00:00"/>
    <x v="0"/>
    <x v="4"/>
    <x v="0"/>
    <s v="Paper"/>
    <x v="0"/>
    <x v="6"/>
    <x v="1"/>
    <n v="3"/>
    <n v="3859"/>
    <n v="11577"/>
    <n v="8454.5400000000009"/>
    <n v="3122.46"/>
    <x v="0"/>
  </r>
  <r>
    <s v="ORD10153"/>
    <d v="2025-11-15T00:00:00"/>
    <x v="1"/>
    <x v="1"/>
    <x v="0"/>
    <s v="Paper"/>
    <x v="0"/>
    <x v="1"/>
    <x v="0"/>
    <n v="4"/>
    <n v="3627"/>
    <n v="14508"/>
    <n v="9395.24"/>
    <n v="5112.76"/>
    <x v="1"/>
  </r>
  <r>
    <s v="ORD10154"/>
    <d v="2024-09-15T00:00:00"/>
    <x v="0"/>
    <x v="3"/>
    <x v="0"/>
    <s v="Paper"/>
    <x v="0"/>
    <x v="3"/>
    <x v="1"/>
    <n v="12"/>
    <n v="3371"/>
    <n v="40452"/>
    <n v="22625.35"/>
    <n v="17826.650000000001"/>
    <x v="0"/>
  </r>
  <r>
    <s v="ORD10155"/>
    <d v="2024-05-02T00:00:00"/>
    <x v="0"/>
    <x v="4"/>
    <x v="1"/>
    <s v="Phone"/>
    <x v="2"/>
    <x v="0"/>
    <x v="1"/>
    <n v="8"/>
    <n v="1021"/>
    <n v="8168"/>
    <n v="4575.04"/>
    <n v="3592.96"/>
    <x v="0"/>
  </r>
  <r>
    <s v="ORD10156"/>
    <d v="2024-11-02T00:00:00"/>
    <x v="0"/>
    <x v="1"/>
    <x v="1"/>
    <s v="Tablet"/>
    <x v="5"/>
    <x v="1"/>
    <x v="1"/>
    <n v="3"/>
    <n v="349"/>
    <n v="1047"/>
    <n v="610.97"/>
    <n v="436.03"/>
    <x v="0"/>
  </r>
  <r>
    <s v="ORD10157"/>
    <d v="2024-10-29T00:00:00"/>
    <x v="1"/>
    <x v="4"/>
    <x v="0"/>
    <s v="Pen"/>
    <x v="8"/>
    <x v="2"/>
    <x v="1"/>
    <n v="8"/>
    <n v="2202"/>
    <n v="17616"/>
    <n v="10243.51"/>
    <n v="7372.49"/>
    <x v="0"/>
  </r>
  <r>
    <s v="ORD10158"/>
    <d v="2024-05-31T00:00:00"/>
    <x v="0"/>
    <x v="5"/>
    <x v="2"/>
    <s v="Desk"/>
    <x v="6"/>
    <x v="3"/>
    <x v="0"/>
    <n v="20"/>
    <n v="2126"/>
    <n v="42520"/>
    <n v="24935.86"/>
    <n v="17584.14"/>
    <x v="0"/>
  </r>
  <r>
    <s v="ORD10159"/>
    <d v="2024-01-11T00:00:00"/>
    <x v="2"/>
    <x v="0"/>
    <x v="1"/>
    <s v="Tablet"/>
    <x v="5"/>
    <x v="1"/>
    <x v="0"/>
    <n v="19"/>
    <n v="3687"/>
    <n v="70053"/>
    <n v="49921.71"/>
    <n v="20131.29"/>
    <x v="0"/>
  </r>
  <r>
    <s v="ORD10160"/>
    <d v="2025-09-03T00:00:00"/>
    <x v="1"/>
    <x v="0"/>
    <x v="1"/>
    <s v="Tablet"/>
    <x v="5"/>
    <x v="5"/>
    <x v="0"/>
    <n v="13"/>
    <n v="1830"/>
    <n v="23790"/>
    <n v="14738.75"/>
    <n v="9051.25"/>
    <x v="1"/>
  </r>
  <r>
    <s v="ORD10161"/>
    <d v="2024-08-18T00:00:00"/>
    <x v="1"/>
    <x v="4"/>
    <x v="0"/>
    <s v="Pen"/>
    <x v="8"/>
    <x v="3"/>
    <x v="0"/>
    <n v="4"/>
    <n v="2210"/>
    <n v="8840"/>
    <n v="6672.13"/>
    <n v="2167.87"/>
    <x v="0"/>
  </r>
  <r>
    <s v="ORD10162"/>
    <d v="2025-09-12T00:00:00"/>
    <x v="2"/>
    <x v="2"/>
    <x v="1"/>
    <s v="Phone"/>
    <x v="2"/>
    <x v="3"/>
    <x v="1"/>
    <n v="18"/>
    <n v="1754"/>
    <n v="31572"/>
    <n v="21756.5"/>
    <n v="9815.5"/>
    <x v="1"/>
  </r>
  <r>
    <s v="ORD10163"/>
    <d v="2024-10-06T00:00:00"/>
    <x v="2"/>
    <x v="4"/>
    <x v="2"/>
    <s v="Cabinet"/>
    <x v="3"/>
    <x v="1"/>
    <x v="1"/>
    <n v="4"/>
    <n v="1364"/>
    <n v="5456"/>
    <n v="4420.8900000000003"/>
    <n v="1035.1099999999999"/>
    <x v="0"/>
  </r>
  <r>
    <s v="ORD10164"/>
    <d v="2024-04-30T00:00:00"/>
    <x v="0"/>
    <x v="0"/>
    <x v="0"/>
    <s v="Paper"/>
    <x v="0"/>
    <x v="6"/>
    <x v="1"/>
    <n v="8"/>
    <n v="4223"/>
    <n v="33784"/>
    <n v="18614.71"/>
    <n v="15169.29"/>
    <x v="0"/>
  </r>
  <r>
    <s v="ORD10165"/>
    <d v="2024-10-26T00:00:00"/>
    <x v="3"/>
    <x v="3"/>
    <x v="0"/>
    <s v="Printer Ink"/>
    <x v="4"/>
    <x v="4"/>
    <x v="0"/>
    <n v="16"/>
    <n v="4849"/>
    <n v="77584"/>
    <n v="43515.77"/>
    <n v="34068.230000000003"/>
    <x v="0"/>
  </r>
  <r>
    <s v="ORD10166"/>
    <d v="2024-06-07T00:00:00"/>
    <x v="3"/>
    <x v="1"/>
    <x v="2"/>
    <s v="Cabinet"/>
    <x v="3"/>
    <x v="6"/>
    <x v="1"/>
    <n v="5"/>
    <n v="4780"/>
    <n v="23900"/>
    <n v="16567.900000000001"/>
    <n v="7332.1"/>
    <x v="0"/>
  </r>
  <r>
    <s v="ORD10167"/>
    <d v="2025-06-26T00:00:00"/>
    <x v="3"/>
    <x v="2"/>
    <x v="2"/>
    <s v="Desk"/>
    <x v="6"/>
    <x v="2"/>
    <x v="1"/>
    <n v="16"/>
    <n v="1598"/>
    <n v="25568"/>
    <n v="20425.27"/>
    <n v="5142.7299999999996"/>
    <x v="1"/>
  </r>
  <r>
    <s v="ORD10168"/>
    <d v="2025-10-20T00:00:00"/>
    <x v="1"/>
    <x v="5"/>
    <x v="1"/>
    <s v="Phone"/>
    <x v="2"/>
    <x v="2"/>
    <x v="0"/>
    <n v="14"/>
    <n v="3300"/>
    <n v="46200"/>
    <n v="26280.29"/>
    <n v="19919.71"/>
    <x v="1"/>
  </r>
  <r>
    <s v="ORD10169"/>
    <d v="2024-01-07T00:00:00"/>
    <x v="3"/>
    <x v="4"/>
    <x v="2"/>
    <s v="Cabinet"/>
    <x v="3"/>
    <x v="7"/>
    <x v="1"/>
    <n v="10"/>
    <n v="3594"/>
    <n v="35940"/>
    <n v="24163.43"/>
    <n v="11776.57"/>
    <x v="0"/>
  </r>
  <r>
    <s v="ORD10170"/>
    <d v="2025-03-01T00:00:00"/>
    <x v="3"/>
    <x v="3"/>
    <x v="2"/>
    <s v="Chair"/>
    <x v="7"/>
    <x v="0"/>
    <x v="1"/>
    <n v="1"/>
    <n v="529"/>
    <n v="529"/>
    <n v="434.59"/>
    <n v="94.41"/>
    <x v="1"/>
  </r>
  <r>
    <s v="ORD10171"/>
    <d v="2025-09-14T00:00:00"/>
    <x v="2"/>
    <x v="5"/>
    <x v="2"/>
    <s v="Desk"/>
    <x v="6"/>
    <x v="2"/>
    <x v="0"/>
    <n v="15"/>
    <n v="3507"/>
    <n v="52605"/>
    <n v="34526.89"/>
    <n v="18078.11"/>
    <x v="1"/>
  </r>
  <r>
    <s v="ORD10172"/>
    <d v="2025-07-13T00:00:00"/>
    <x v="2"/>
    <x v="1"/>
    <x v="2"/>
    <s v="Desk"/>
    <x v="6"/>
    <x v="1"/>
    <x v="0"/>
    <n v="15"/>
    <n v="2905"/>
    <n v="43575"/>
    <n v="26734.51"/>
    <n v="16840.490000000002"/>
    <x v="1"/>
  </r>
  <r>
    <s v="ORD10173"/>
    <d v="2025-09-22T00:00:00"/>
    <x v="2"/>
    <x v="5"/>
    <x v="0"/>
    <s v="Printer Ink"/>
    <x v="4"/>
    <x v="4"/>
    <x v="1"/>
    <n v="3"/>
    <n v="250"/>
    <n v="750"/>
    <n v="446.37"/>
    <n v="303.63"/>
    <x v="1"/>
  </r>
  <r>
    <s v="ORD10174"/>
    <d v="2025-08-02T00:00:00"/>
    <x v="1"/>
    <x v="0"/>
    <x v="0"/>
    <s v="Pen"/>
    <x v="8"/>
    <x v="6"/>
    <x v="0"/>
    <n v="6"/>
    <n v="4666"/>
    <n v="27996"/>
    <n v="22638.83"/>
    <n v="5357.17"/>
    <x v="1"/>
  </r>
  <r>
    <s v="ORD10175"/>
    <d v="2024-12-16T00:00:00"/>
    <x v="1"/>
    <x v="0"/>
    <x v="2"/>
    <s v="Chair"/>
    <x v="7"/>
    <x v="1"/>
    <x v="1"/>
    <n v="6"/>
    <n v="3712"/>
    <n v="22272"/>
    <n v="18366.75"/>
    <n v="3905.25"/>
    <x v="0"/>
  </r>
  <r>
    <s v="ORD10176"/>
    <d v="2025-04-29T00:00:00"/>
    <x v="1"/>
    <x v="5"/>
    <x v="1"/>
    <s v="Tablet"/>
    <x v="5"/>
    <x v="2"/>
    <x v="1"/>
    <n v="15"/>
    <n v="3482"/>
    <n v="52230"/>
    <n v="30638.080000000002"/>
    <n v="21591.919999999998"/>
    <x v="1"/>
  </r>
  <r>
    <s v="ORD10177"/>
    <d v="2024-04-09T00:00:00"/>
    <x v="2"/>
    <x v="0"/>
    <x v="1"/>
    <s v="Laptop"/>
    <x v="1"/>
    <x v="2"/>
    <x v="1"/>
    <n v="10"/>
    <n v="4093"/>
    <n v="40930"/>
    <n v="30851.88"/>
    <n v="10078.120000000001"/>
    <x v="0"/>
  </r>
  <r>
    <s v="ORD10178"/>
    <d v="2024-12-06T00:00:00"/>
    <x v="1"/>
    <x v="0"/>
    <x v="1"/>
    <s v="Tablet"/>
    <x v="5"/>
    <x v="3"/>
    <x v="1"/>
    <n v="3"/>
    <n v="1963"/>
    <n v="5889"/>
    <n v="4343.47"/>
    <n v="1545.53"/>
    <x v="0"/>
  </r>
  <r>
    <s v="ORD10179"/>
    <d v="2025-11-30T00:00:00"/>
    <x v="3"/>
    <x v="0"/>
    <x v="0"/>
    <s v="Printer Ink"/>
    <x v="4"/>
    <x v="4"/>
    <x v="0"/>
    <n v="6"/>
    <n v="1814"/>
    <n v="10884"/>
    <n v="9042.48"/>
    <n v="1841.52"/>
    <x v="1"/>
  </r>
  <r>
    <s v="ORD10180"/>
    <d v="2024-07-06T00:00:00"/>
    <x v="0"/>
    <x v="2"/>
    <x v="2"/>
    <s v="Cabinet"/>
    <x v="3"/>
    <x v="3"/>
    <x v="1"/>
    <n v="5"/>
    <n v="3694"/>
    <n v="18470"/>
    <n v="15085.08"/>
    <n v="3384.92"/>
    <x v="0"/>
  </r>
  <r>
    <s v="ORD10181"/>
    <d v="2024-10-07T00:00:00"/>
    <x v="2"/>
    <x v="0"/>
    <x v="0"/>
    <s v="Pen"/>
    <x v="8"/>
    <x v="0"/>
    <x v="1"/>
    <n v="16"/>
    <n v="2861"/>
    <n v="45776"/>
    <n v="35465.370000000003"/>
    <n v="10310.629999999999"/>
    <x v="0"/>
  </r>
  <r>
    <s v="ORD10182"/>
    <d v="2024-01-02T00:00:00"/>
    <x v="0"/>
    <x v="1"/>
    <x v="2"/>
    <s v="Desk"/>
    <x v="6"/>
    <x v="4"/>
    <x v="0"/>
    <n v="4"/>
    <n v="4849"/>
    <n v="19396"/>
    <n v="13235.09"/>
    <n v="6160.91"/>
    <x v="0"/>
  </r>
  <r>
    <s v="ORD10183"/>
    <d v="2024-02-20T00:00:00"/>
    <x v="1"/>
    <x v="3"/>
    <x v="2"/>
    <s v="Desk"/>
    <x v="6"/>
    <x v="7"/>
    <x v="1"/>
    <n v="9"/>
    <n v="3880"/>
    <n v="34920"/>
    <n v="27583.27"/>
    <n v="7336.73"/>
    <x v="0"/>
  </r>
  <r>
    <s v="ORD10184"/>
    <d v="2025-04-03T00:00:00"/>
    <x v="3"/>
    <x v="0"/>
    <x v="1"/>
    <s v="Phone"/>
    <x v="2"/>
    <x v="7"/>
    <x v="1"/>
    <n v="10"/>
    <n v="1164"/>
    <n v="11640"/>
    <n v="7175.74"/>
    <n v="4464.26"/>
    <x v="1"/>
  </r>
  <r>
    <s v="ORD10185"/>
    <d v="2024-04-04T00:00:00"/>
    <x v="3"/>
    <x v="4"/>
    <x v="2"/>
    <s v="Cabinet"/>
    <x v="3"/>
    <x v="7"/>
    <x v="1"/>
    <n v="15"/>
    <n v="3925"/>
    <n v="58875"/>
    <n v="45444.77"/>
    <n v="13430.23"/>
    <x v="0"/>
  </r>
  <r>
    <s v="ORD10186"/>
    <d v="2024-05-25T00:00:00"/>
    <x v="2"/>
    <x v="0"/>
    <x v="2"/>
    <s v="Desk"/>
    <x v="6"/>
    <x v="5"/>
    <x v="0"/>
    <n v="12"/>
    <n v="531"/>
    <n v="6372"/>
    <n v="3946.57"/>
    <n v="2425.4299999999998"/>
    <x v="0"/>
  </r>
  <r>
    <s v="ORD10187"/>
    <d v="2024-03-13T00:00:00"/>
    <x v="3"/>
    <x v="2"/>
    <x v="1"/>
    <s v="Phone"/>
    <x v="2"/>
    <x v="0"/>
    <x v="1"/>
    <n v="1"/>
    <n v="3378"/>
    <n v="3378"/>
    <n v="1980.92"/>
    <n v="1397.08"/>
    <x v="0"/>
  </r>
  <r>
    <s v="ORD10188"/>
    <d v="2024-08-29T00:00:00"/>
    <x v="2"/>
    <x v="4"/>
    <x v="2"/>
    <s v="Cabinet"/>
    <x v="3"/>
    <x v="4"/>
    <x v="1"/>
    <n v="10"/>
    <n v="967"/>
    <n v="9670"/>
    <n v="5865.27"/>
    <n v="3804.73"/>
    <x v="0"/>
  </r>
  <r>
    <s v="ORD10189"/>
    <d v="2024-04-04T00:00:00"/>
    <x v="3"/>
    <x v="2"/>
    <x v="1"/>
    <s v="Laptop"/>
    <x v="1"/>
    <x v="1"/>
    <x v="1"/>
    <n v="7"/>
    <n v="4419"/>
    <n v="30933"/>
    <n v="25739.02"/>
    <n v="5193.9799999999996"/>
    <x v="0"/>
  </r>
  <r>
    <s v="ORD10190"/>
    <d v="2024-08-05T00:00:00"/>
    <x v="1"/>
    <x v="3"/>
    <x v="0"/>
    <s v="Pen"/>
    <x v="8"/>
    <x v="7"/>
    <x v="1"/>
    <n v="2"/>
    <n v="518"/>
    <n v="1036"/>
    <n v="765.34"/>
    <n v="270.66000000000003"/>
    <x v="0"/>
  </r>
  <r>
    <s v="ORD10191"/>
    <d v="2024-04-08T00:00:00"/>
    <x v="1"/>
    <x v="5"/>
    <x v="0"/>
    <s v="Pen"/>
    <x v="8"/>
    <x v="1"/>
    <x v="0"/>
    <n v="16"/>
    <n v="887"/>
    <n v="14192"/>
    <n v="9468.2800000000007"/>
    <n v="4723.72"/>
    <x v="0"/>
  </r>
  <r>
    <s v="ORD10192"/>
    <d v="2024-08-04T00:00:00"/>
    <x v="0"/>
    <x v="5"/>
    <x v="0"/>
    <s v="Paper"/>
    <x v="0"/>
    <x v="3"/>
    <x v="0"/>
    <n v="18"/>
    <n v="2721"/>
    <n v="48978"/>
    <n v="31788.560000000001"/>
    <n v="17189.439999999999"/>
    <x v="0"/>
  </r>
  <r>
    <s v="ORD10193"/>
    <d v="2024-03-03T00:00:00"/>
    <x v="2"/>
    <x v="4"/>
    <x v="1"/>
    <s v="Laptop"/>
    <x v="1"/>
    <x v="4"/>
    <x v="0"/>
    <n v="20"/>
    <n v="3853"/>
    <n v="77060"/>
    <n v="48718.99"/>
    <n v="28341.01"/>
    <x v="0"/>
  </r>
  <r>
    <s v="ORD10194"/>
    <d v="2025-05-17T00:00:00"/>
    <x v="0"/>
    <x v="4"/>
    <x v="1"/>
    <s v="Phone"/>
    <x v="2"/>
    <x v="0"/>
    <x v="0"/>
    <n v="20"/>
    <n v="904"/>
    <n v="18080"/>
    <n v="11856.39"/>
    <n v="6223.61"/>
    <x v="1"/>
  </r>
  <r>
    <s v="ORD10195"/>
    <d v="2024-11-12T00:00:00"/>
    <x v="1"/>
    <x v="5"/>
    <x v="1"/>
    <s v="Tablet"/>
    <x v="5"/>
    <x v="7"/>
    <x v="1"/>
    <n v="15"/>
    <n v="2055"/>
    <n v="30825"/>
    <n v="18654.36"/>
    <n v="12170.64"/>
    <x v="0"/>
  </r>
  <r>
    <s v="ORD10196"/>
    <d v="2025-10-31T00:00:00"/>
    <x v="1"/>
    <x v="5"/>
    <x v="0"/>
    <s v="Printer Ink"/>
    <x v="4"/>
    <x v="2"/>
    <x v="1"/>
    <n v="11"/>
    <n v="1763"/>
    <n v="19393"/>
    <n v="12945.08"/>
    <n v="6447.92"/>
    <x v="1"/>
  </r>
  <r>
    <s v="ORD10197"/>
    <d v="2024-02-07T00:00:00"/>
    <x v="0"/>
    <x v="3"/>
    <x v="0"/>
    <s v="Paper"/>
    <x v="0"/>
    <x v="4"/>
    <x v="0"/>
    <n v="1"/>
    <n v="3284"/>
    <n v="3284"/>
    <n v="2546.79"/>
    <n v="737.21"/>
    <x v="0"/>
  </r>
  <r>
    <s v="ORD10198"/>
    <d v="2025-05-13T00:00:00"/>
    <x v="2"/>
    <x v="4"/>
    <x v="2"/>
    <s v="Chair"/>
    <x v="7"/>
    <x v="7"/>
    <x v="1"/>
    <n v="19"/>
    <n v="328"/>
    <n v="6232"/>
    <n v="3551.55"/>
    <n v="2680.45"/>
    <x v="1"/>
  </r>
  <r>
    <s v="ORD10199"/>
    <d v="2024-09-14T00:00:00"/>
    <x v="2"/>
    <x v="2"/>
    <x v="1"/>
    <s v="Tablet"/>
    <x v="5"/>
    <x v="6"/>
    <x v="0"/>
    <n v="17"/>
    <n v="3340"/>
    <n v="56780"/>
    <n v="36207.14"/>
    <n v="20572.86"/>
    <x v="0"/>
  </r>
  <r>
    <s v="ORD10200"/>
    <d v="2024-03-16T00:00:00"/>
    <x v="3"/>
    <x v="4"/>
    <x v="1"/>
    <s v="Laptop"/>
    <x v="1"/>
    <x v="2"/>
    <x v="0"/>
    <n v="11"/>
    <n v="931"/>
    <n v="10241"/>
    <n v="5655.72"/>
    <n v="4585.28"/>
    <x v="0"/>
  </r>
  <r>
    <s v="ORD10201"/>
    <d v="2024-11-18T00:00:00"/>
    <x v="3"/>
    <x v="3"/>
    <x v="1"/>
    <s v="Laptop"/>
    <x v="1"/>
    <x v="3"/>
    <x v="1"/>
    <n v="19"/>
    <n v="893"/>
    <n v="16967"/>
    <n v="13043.7"/>
    <n v="3923.3"/>
    <x v="0"/>
  </r>
  <r>
    <s v="ORD10202"/>
    <d v="2025-05-13T00:00:00"/>
    <x v="1"/>
    <x v="1"/>
    <x v="1"/>
    <s v="Laptop"/>
    <x v="1"/>
    <x v="4"/>
    <x v="0"/>
    <n v="18"/>
    <n v="2244"/>
    <n v="40392"/>
    <n v="32981.57"/>
    <n v="7410.43"/>
    <x v="1"/>
  </r>
  <r>
    <s v="ORD10203"/>
    <d v="2024-03-18T00:00:00"/>
    <x v="2"/>
    <x v="2"/>
    <x v="1"/>
    <s v="Laptop"/>
    <x v="1"/>
    <x v="5"/>
    <x v="0"/>
    <n v="7"/>
    <n v="4262"/>
    <n v="29834"/>
    <n v="16873.52"/>
    <n v="12960.48"/>
    <x v="0"/>
  </r>
  <r>
    <s v="ORD10204"/>
    <d v="2024-02-10T00:00:00"/>
    <x v="1"/>
    <x v="2"/>
    <x v="2"/>
    <s v="Desk"/>
    <x v="6"/>
    <x v="2"/>
    <x v="0"/>
    <n v="5"/>
    <n v="3841"/>
    <n v="19205"/>
    <n v="13943.45"/>
    <n v="5261.55"/>
    <x v="0"/>
  </r>
  <r>
    <s v="ORD10205"/>
    <d v="2024-07-12T00:00:00"/>
    <x v="2"/>
    <x v="3"/>
    <x v="2"/>
    <s v="Cabinet"/>
    <x v="3"/>
    <x v="5"/>
    <x v="0"/>
    <n v="10"/>
    <n v="4915"/>
    <n v="49150"/>
    <n v="34685.19"/>
    <n v="14464.81"/>
    <x v="0"/>
  </r>
  <r>
    <s v="ORD10206"/>
    <d v="2025-05-13T00:00:00"/>
    <x v="2"/>
    <x v="3"/>
    <x v="0"/>
    <s v="Printer Ink"/>
    <x v="4"/>
    <x v="4"/>
    <x v="1"/>
    <n v="5"/>
    <n v="4477"/>
    <n v="22385"/>
    <n v="18603.5"/>
    <n v="3781.5"/>
    <x v="1"/>
  </r>
  <r>
    <s v="ORD10207"/>
    <d v="2024-12-28T00:00:00"/>
    <x v="2"/>
    <x v="0"/>
    <x v="0"/>
    <s v="Printer Ink"/>
    <x v="4"/>
    <x v="2"/>
    <x v="0"/>
    <n v="10"/>
    <n v="1884"/>
    <n v="18840"/>
    <n v="12919.67"/>
    <n v="5920.33"/>
    <x v="0"/>
  </r>
  <r>
    <s v="ORD10208"/>
    <d v="2024-01-03T00:00:00"/>
    <x v="1"/>
    <x v="5"/>
    <x v="1"/>
    <s v="Laptop"/>
    <x v="1"/>
    <x v="0"/>
    <x v="1"/>
    <n v="16"/>
    <n v="2975"/>
    <n v="47600"/>
    <n v="30438.99"/>
    <n v="17161.009999999998"/>
    <x v="0"/>
  </r>
  <r>
    <s v="ORD10209"/>
    <d v="2025-11-10T00:00:00"/>
    <x v="2"/>
    <x v="5"/>
    <x v="2"/>
    <s v="Cabinet"/>
    <x v="3"/>
    <x v="1"/>
    <x v="0"/>
    <n v="10"/>
    <n v="710"/>
    <n v="7100"/>
    <n v="4351.49"/>
    <n v="2748.51"/>
    <x v="1"/>
  </r>
  <r>
    <s v="ORD10210"/>
    <d v="2025-10-21T00:00:00"/>
    <x v="0"/>
    <x v="0"/>
    <x v="0"/>
    <s v="Paper"/>
    <x v="0"/>
    <x v="7"/>
    <x v="1"/>
    <n v="4"/>
    <n v="1070"/>
    <n v="4280"/>
    <n v="3003.8"/>
    <n v="1276.2"/>
    <x v="1"/>
  </r>
  <r>
    <s v="ORD10211"/>
    <d v="2024-02-09T00:00:00"/>
    <x v="3"/>
    <x v="3"/>
    <x v="0"/>
    <s v="Paper"/>
    <x v="0"/>
    <x v="3"/>
    <x v="0"/>
    <n v="3"/>
    <n v="1204"/>
    <n v="3612"/>
    <n v="2784.92"/>
    <n v="827.08"/>
    <x v="0"/>
  </r>
  <r>
    <s v="ORD10212"/>
    <d v="2024-01-04T00:00:00"/>
    <x v="0"/>
    <x v="1"/>
    <x v="1"/>
    <s v="Laptop"/>
    <x v="1"/>
    <x v="7"/>
    <x v="1"/>
    <n v="2"/>
    <n v="2925"/>
    <n v="5850"/>
    <n v="4097.99"/>
    <n v="1752.01"/>
    <x v="0"/>
  </r>
  <r>
    <s v="ORD10213"/>
    <d v="2024-06-03T00:00:00"/>
    <x v="2"/>
    <x v="1"/>
    <x v="1"/>
    <s v="Laptop"/>
    <x v="1"/>
    <x v="4"/>
    <x v="0"/>
    <n v="9"/>
    <n v="2133"/>
    <n v="19197"/>
    <n v="11537.29"/>
    <n v="7659.71"/>
    <x v="0"/>
  </r>
  <r>
    <s v="ORD10214"/>
    <d v="2024-02-01T00:00:00"/>
    <x v="1"/>
    <x v="5"/>
    <x v="2"/>
    <s v="Chair"/>
    <x v="7"/>
    <x v="0"/>
    <x v="0"/>
    <n v="20"/>
    <n v="4931"/>
    <n v="98620"/>
    <n v="75711.91"/>
    <n v="22908.09"/>
    <x v="0"/>
  </r>
  <r>
    <s v="ORD10215"/>
    <d v="2024-01-06T00:00:00"/>
    <x v="3"/>
    <x v="3"/>
    <x v="1"/>
    <s v="Phone"/>
    <x v="2"/>
    <x v="3"/>
    <x v="0"/>
    <n v="19"/>
    <n v="3270"/>
    <n v="62130"/>
    <n v="49323.75"/>
    <n v="12806.25"/>
    <x v="0"/>
  </r>
  <r>
    <s v="ORD10216"/>
    <d v="2024-11-10T00:00:00"/>
    <x v="0"/>
    <x v="5"/>
    <x v="2"/>
    <s v="Desk"/>
    <x v="6"/>
    <x v="6"/>
    <x v="1"/>
    <n v="4"/>
    <n v="3078"/>
    <n v="12312"/>
    <n v="9364.9699999999993"/>
    <n v="2947.03"/>
    <x v="0"/>
  </r>
  <r>
    <s v="ORD10217"/>
    <d v="2024-08-02T00:00:00"/>
    <x v="3"/>
    <x v="4"/>
    <x v="0"/>
    <s v="Paper"/>
    <x v="0"/>
    <x v="1"/>
    <x v="1"/>
    <n v="13"/>
    <n v="3275"/>
    <n v="42575"/>
    <n v="32605.43"/>
    <n v="9969.57"/>
    <x v="0"/>
  </r>
  <r>
    <s v="ORD10218"/>
    <d v="2025-06-21T00:00:00"/>
    <x v="0"/>
    <x v="5"/>
    <x v="1"/>
    <s v="Phone"/>
    <x v="2"/>
    <x v="3"/>
    <x v="1"/>
    <n v="15"/>
    <n v="3976"/>
    <n v="59640"/>
    <n v="50489.29"/>
    <n v="9150.7099999999991"/>
    <x v="1"/>
  </r>
  <r>
    <s v="ORD10219"/>
    <d v="2024-04-11T00:00:00"/>
    <x v="1"/>
    <x v="4"/>
    <x v="0"/>
    <s v="Paper"/>
    <x v="0"/>
    <x v="6"/>
    <x v="1"/>
    <n v="4"/>
    <n v="3581"/>
    <n v="14324"/>
    <n v="11774.73"/>
    <n v="2549.27"/>
    <x v="0"/>
  </r>
  <r>
    <s v="ORD10220"/>
    <d v="2024-09-28T00:00:00"/>
    <x v="3"/>
    <x v="1"/>
    <x v="1"/>
    <s v="Tablet"/>
    <x v="5"/>
    <x v="1"/>
    <x v="0"/>
    <n v="1"/>
    <n v="315"/>
    <n v="315"/>
    <n v="218.28"/>
    <n v="96.72"/>
    <x v="0"/>
  </r>
  <r>
    <s v="ORD10221"/>
    <d v="2025-06-11T00:00:00"/>
    <x v="3"/>
    <x v="1"/>
    <x v="0"/>
    <s v="Printer Ink"/>
    <x v="4"/>
    <x v="1"/>
    <x v="0"/>
    <n v="14"/>
    <n v="3039"/>
    <n v="42546"/>
    <n v="27226.81"/>
    <n v="15319.19"/>
    <x v="1"/>
  </r>
  <r>
    <s v="ORD10222"/>
    <d v="2025-05-09T00:00:00"/>
    <x v="0"/>
    <x v="5"/>
    <x v="0"/>
    <s v="Paper"/>
    <x v="0"/>
    <x v="1"/>
    <x v="1"/>
    <n v="11"/>
    <n v="1285"/>
    <n v="14135"/>
    <n v="9862.67"/>
    <n v="4272.33"/>
    <x v="1"/>
  </r>
  <r>
    <s v="ORD10223"/>
    <d v="2025-11-21T00:00:00"/>
    <x v="0"/>
    <x v="5"/>
    <x v="2"/>
    <s v="Desk"/>
    <x v="6"/>
    <x v="5"/>
    <x v="1"/>
    <n v="10"/>
    <n v="2566"/>
    <n v="25660"/>
    <n v="17677.57"/>
    <n v="7982.43"/>
    <x v="1"/>
  </r>
  <r>
    <s v="ORD10224"/>
    <d v="2024-09-23T00:00:00"/>
    <x v="0"/>
    <x v="3"/>
    <x v="2"/>
    <s v="Desk"/>
    <x v="6"/>
    <x v="1"/>
    <x v="1"/>
    <n v="5"/>
    <n v="1977"/>
    <n v="9885"/>
    <n v="7147.1"/>
    <n v="2737.9"/>
    <x v="0"/>
  </r>
  <r>
    <s v="ORD10225"/>
    <d v="2025-04-27T00:00:00"/>
    <x v="1"/>
    <x v="1"/>
    <x v="0"/>
    <s v="Pen"/>
    <x v="8"/>
    <x v="2"/>
    <x v="0"/>
    <n v="17"/>
    <n v="968"/>
    <n v="16456"/>
    <n v="12222.59"/>
    <n v="4233.41"/>
    <x v="1"/>
  </r>
  <r>
    <s v="ORD10226"/>
    <d v="2025-12-22T00:00:00"/>
    <x v="3"/>
    <x v="5"/>
    <x v="2"/>
    <s v="Desk"/>
    <x v="6"/>
    <x v="7"/>
    <x v="0"/>
    <n v="3"/>
    <n v="4340"/>
    <n v="13020"/>
    <n v="10130.68"/>
    <n v="2889.32"/>
    <x v="1"/>
  </r>
  <r>
    <s v="ORD10227"/>
    <d v="2025-10-04T00:00:00"/>
    <x v="0"/>
    <x v="1"/>
    <x v="1"/>
    <s v="Tablet"/>
    <x v="5"/>
    <x v="0"/>
    <x v="0"/>
    <n v="13"/>
    <n v="639"/>
    <n v="8307"/>
    <n v="6245.08"/>
    <n v="2061.92"/>
    <x v="1"/>
  </r>
  <r>
    <s v="ORD10228"/>
    <d v="2024-01-04T00:00:00"/>
    <x v="3"/>
    <x v="4"/>
    <x v="0"/>
    <s v="Paper"/>
    <x v="0"/>
    <x v="4"/>
    <x v="1"/>
    <n v="16"/>
    <n v="4210"/>
    <n v="67360"/>
    <n v="51203.82"/>
    <n v="16156.18"/>
    <x v="0"/>
  </r>
  <r>
    <s v="ORD10229"/>
    <d v="2024-07-20T00:00:00"/>
    <x v="1"/>
    <x v="1"/>
    <x v="2"/>
    <s v="Cabinet"/>
    <x v="3"/>
    <x v="0"/>
    <x v="0"/>
    <n v="16"/>
    <n v="4447"/>
    <n v="71152"/>
    <n v="46842.96"/>
    <n v="24309.040000000001"/>
    <x v="0"/>
  </r>
  <r>
    <s v="ORD10230"/>
    <d v="2024-08-01T00:00:00"/>
    <x v="1"/>
    <x v="3"/>
    <x v="1"/>
    <s v="Phone"/>
    <x v="2"/>
    <x v="4"/>
    <x v="0"/>
    <n v="5"/>
    <n v="2056"/>
    <n v="10280"/>
    <n v="5660.57"/>
    <n v="4619.43"/>
    <x v="0"/>
  </r>
  <r>
    <s v="ORD10231"/>
    <d v="2025-06-22T00:00:00"/>
    <x v="0"/>
    <x v="2"/>
    <x v="0"/>
    <s v="Paper"/>
    <x v="0"/>
    <x v="6"/>
    <x v="0"/>
    <n v="1"/>
    <n v="3395"/>
    <n v="3395"/>
    <n v="1908.47"/>
    <n v="1486.53"/>
    <x v="1"/>
  </r>
  <r>
    <s v="ORD10232"/>
    <d v="2025-01-07T00:00:00"/>
    <x v="2"/>
    <x v="3"/>
    <x v="2"/>
    <s v="Desk"/>
    <x v="6"/>
    <x v="7"/>
    <x v="1"/>
    <n v="4"/>
    <n v="3083"/>
    <n v="12332"/>
    <n v="8816.31"/>
    <n v="3515.69"/>
    <x v="1"/>
  </r>
  <r>
    <s v="ORD10233"/>
    <d v="2024-01-05T00:00:00"/>
    <x v="0"/>
    <x v="0"/>
    <x v="2"/>
    <s v="Cabinet"/>
    <x v="3"/>
    <x v="6"/>
    <x v="1"/>
    <n v="8"/>
    <n v="1980"/>
    <n v="15840"/>
    <n v="10080.57"/>
    <n v="5759.43"/>
    <x v="0"/>
  </r>
  <r>
    <s v="ORD10234"/>
    <d v="2025-09-28T00:00:00"/>
    <x v="1"/>
    <x v="5"/>
    <x v="1"/>
    <s v="Tablet"/>
    <x v="5"/>
    <x v="3"/>
    <x v="1"/>
    <n v="8"/>
    <n v="3134"/>
    <n v="25072"/>
    <n v="16156.61"/>
    <n v="8915.39"/>
    <x v="1"/>
  </r>
  <r>
    <s v="ORD10235"/>
    <d v="2025-05-15T00:00:00"/>
    <x v="1"/>
    <x v="0"/>
    <x v="0"/>
    <s v="Pen"/>
    <x v="8"/>
    <x v="6"/>
    <x v="1"/>
    <n v="19"/>
    <n v="3050"/>
    <n v="57950"/>
    <n v="45032.22"/>
    <n v="12917.78"/>
    <x v="1"/>
  </r>
  <r>
    <s v="ORD10236"/>
    <d v="2024-08-02T00:00:00"/>
    <x v="3"/>
    <x v="1"/>
    <x v="1"/>
    <s v="Phone"/>
    <x v="2"/>
    <x v="2"/>
    <x v="0"/>
    <n v="12"/>
    <n v="2061"/>
    <n v="24732"/>
    <n v="17547.310000000001"/>
    <n v="7184.69"/>
    <x v="0"/>
  </r>
  <r>
    <s v="ORD10237"/>
    <d v="2025-11-11T00:00:00"/>
    <x v="3"/>
    <x v="2"/>
    <x v="2"/>
    <s v="Cabinet"/>
    <x v="3"/>
    <x v="2"/>
    <x v="1"/>
    <n v="9"/>
    <n v="2151"/>
    <n v="19359"/>
    <n v="16177.52"/>
    <n v="3181.48"/>
    <x v="1"/>
  </r>
  <r>
    <s v="ORD10238"/>
    <d v="2025-01-30T00:00:00"/>
    <x v="0"/>
    <x v="2"/>
    <x v="1"/>
    <s v="Phone"/>
    <x v="2"/>
    <x v="2"/>
    <x v="1"/>
    <n v="2"/>
    <n v="3823"/>
    <n v="7646"/>
    <n v="5692.82"/>
    <n v="1953.18"/>
    <x v="1"/>
  </r>
  <r>
    <s v="ORD10239"/>
    <d v="2024-12-07T00:00:00"/>
    <x v="0"/>
    <x v="2"/>
    <x v="1"/>
    <s v="Tablet"/>
    <x v="5"/>
    <x v="5"/>
    <x v="0"/>
    <n v="17"/>
    <n v="2943"/>
    <n v="50031"/>
    <n v="34818.06"/>
    <n v="15212.94"/>
    <x v="0"/>
  </r>
  <r>
    <s v="ORD10240"/>
    <d v="2025-05-24T00:00:00"/>
    <x v="1"/>
    <x v="3"/>
    <x v="1"/>
    <s v="Laptop"/>
    <x v="1"/>
    <x v="7"/>
    <x v="1"/>
    <n v="20"/>
    <n v="775"/>
    <n v="15500"/>
    <n v="12602.47"/>
    <n v="2897.53"/>
    <x v="1"/>
  </r>
  <r>
    <s v="ORD10241"/>
    <d v="2024-06-02T00:00:00"/>
    <x v="0"/>
    <x v="3"/>
    <x v="1"/>
    <s v="Laptop"/>
    <x v="1"/>
    <x v="1"/>
    <x v="1"/>
    <n v="19"/>
    <n v="2815"/>
    <n v="53485"/>
    <n v="30121.82"/>
    <n v="23363.18"/>
    <x v="0"/>
  </r>
  <r>
    <s v="ORD10242"/>
    <d v="2025-06-17T00:00:00"/>
    <x v="0"/>
    <x v="3"/>
    <x v="1"/>
    <s v="Laptop"/>
    <x v="1"/>
    <x v="3"/>
    <x v="1"/>
    <n v="15"/>
    <n v="4824"/>
    <n v="72360"/>
    <n v="58680.31"/>
    <n v="13679.69"/>
    <x v="1"/>
  </r>
  <r>
    <s v="ORD10243"/>
    <d v="2025-12-11T00:00:00"/>
    <x v="0"/>
    <x v="4"/>
    <x v="2"/>
    <s v="Desk"/>
    <x v="6"/>
    <x v="1"/>
    <x v="1"/>
    <n v="4"/>
    <n v="3076"/>
    <n v="12304"/>
    <n v="8072.01"/>
    <n v="4231.99"/>
    <x v="1"/>
  </r>
  <r>
    <s v="ORD10244"/>
    <d v="2024-02-21T00:00:00"/>
    <x v="2"/>
    <x v="5"/>
    <x v="2"/>
    <s v="Desk"/>
    <x v="6"/>
    <x v="5"/>
    <x v="1"/>
    <n v="3"/>
    <n v="4384"/>
    <n v="13152"/>
    <n v="9539.99"/>
    <n v="3612.01"/>
    <x v="0"/>
  </r>
  <r>
    <s v="ORD10245"/>
    <d v="2025-01-01T00:00:00"/>
    <x v="2"/>
    <x v="1"/>
    <x v="2"/>
    <s v="Chair"/>
    <x v="7"/>
    <x v="7"/>
    <x v="1"/>
    <n v="15"/>
    <n v="3591"/>
    <n v="53865"/>
    <n v="34086.89"/>
    <n v="19778.11"/>
    <x v="1"/>
  </r>
  <r>
    <s v="ORD10246"/>
    <d v="2025-11-12T00:00:00"/>
    <x v="2"/>
    <x v="5"/>
    <x v="1"/>
    <s v="Laptop"/>
    <x v="1"/>
    <x v="4"/>
    <x v="0"/>
    <n v="7"/>
    <n v="2258"/>
    <n v="15806"/>
    <n v="9260.34"/>
    <n v="6545.66"/>
    <x v="1"/>
  </r>
  <r>
    <s v="ORD10247"/>
    <d v="2024-02-11T00:00:00"/>
    <x v="0"/>
    <x v="2"/>
    <x v="2"/>
    <s v="Cabinet"/>
    <x v="3"/>
    <x v="4"/>
    <x v="1"/>
    <n v="15"/>
    <n v="326"/>
    <n v="4890"/>
    <n v="3645.89"/>
    <n v="1244.1099999999999"/>
    <x v="0"/>
  </r>
  <r>
    <s v="ORD10248"/>
    <d v="2025-07-19T00:00:00"/>
    <x v="0"/>
    <x v="2"/>
    <x v="0"/>
    <s v="Pen"/>
    <x v="8"/>
    <x v="2"/>
    <x v="0"/>
    <n v="6"/>
    <n v="2309"/>
    <n v="13854"/>
    <n v="9149.57"/>
    <n v="4704.43"/>
    <x v="1"/>
  </r>
  <r>
    <s v="ORD10249"/>
    <d v="2025-09-09T00:00:00"/>
    <x v="0"/>
    <x v="2"/>
    <x v="1"/>
    <s v="Phone"/>
    <x v="2"/>
    <x v="3"/>
    <x v="0"/>
    <n v="17"/>
    <n v="2921"/>
    <n v="49657"/>
    <n v="27755.15"/>
    <n v="21901.85"/>
    <x v="1"/>
  </r>
  <r>
    <s v="ORD10250"/>
    <d v="2025-03-18T00:00:00"/>
    <x v="2"/>
    <x v="2"/>
    <x v="0"/>
    <s v="Paper"/>
    <x v="0"/>
    <x v="6"/>
    <x v="1"/>
    <n v="18"/>
    <n v="693"/>
    <n v="12474"/>
    <n v="8866.3700000000008"/>
    <n v="3607.63"/>
    <x v="1"/>
  </r>
  <r>
    <s v="ORD10251"/>
    <d v="2024-01-20T00:00:00"/>
    <x v="2"/>
    <x v="2"/>
    <x v="2"/>
    <s v="Chair"/>
    <x v="7"/>
    <x v="7"/>
    <x v="0"/>
    <n v="15"/>
    <n v="679"/>
    <n v="10185"/>
    <n v="5825.07"/>
    <n v="4359.93"/>
    <x v="0"/>
  </r>
  <r>
    <s v="ORD10252"/>
    <d v="2025-01-20T00:00:00"/>
    <x v="3"/>
    <x v="2"/>
    <x v="2"/>
    <s v="Desk"/>
    <x v="6"/>
    <x v="7"/>
    <x v="1"/>
    <n v="9"/>
    <n v="3496"/>
    <n v="31464"/>
    <n v="22803.7"/>
    <n v="8660.2999999999993"/>
    <x v="1"/>
  </r>
  <r>
    <s v="ORD10253"/>
    <d v="2024-01-24T00:00:00"/>
    <x v="3"/>
    <x v="1"/>
    <x v="0"/>
    <s v="Pen"/>
    <x v="8"/>
    <x v="3"/>
    <x v="1"/>
    <n v="18"/>
    <n v="2884"/>
    <n v="51912"/>
    <n v="36966.910000000003"/>
    <n v="14945.09"/>
    <x v="0"/>
  </r>
  <r>
    <s v="ORD10254"/>
    <d v="2025-07-24T00:00:00"/>
    <x v="0"/>
    <x v="0"/>
    <x v="0"/>
    <s v="Paper"/>
    <x v="0"/>
    <x v="5"/>
    <x v="1"/>
    <n v="7"/>
    <n v="3309"/>
    <n v="23163"/>
    <n v="15487.84"/>
    <n v="7675.16"/>
    <x v="1"/>
  </r>
  <r>
    <s v="ORD10255"/>
    <d v="2024-05-26T00:00:00"/>
    <x v="3"/>
    <x v="2"/>
    <x v="1"/>
    <s v="Tablet"/>
    <x v="5"/>
    <x v="7"/>
    <x v="1"/>
    <n v="3"/>
    <n v="4785"/>
    <n v="14355"/>
    <n v="8265.43"/>
    <n v="6089.57"/>
    <x v="0"/>
  </r>
  <r>
    <s v="ORD10256"/>
    <d v="2024-05-30T00:00:00"/>
    <x v="0"/>
    <x v="0"/>
    <x v="0"/>
    <s v="Printer Ink"/>
    <x v="4"/>
    <x v="5"/>
    <x v="0"/>
    <n v="12"/>
    <n v="3329"/>
    <n v="39948"/>
    <n v="27871.18"/>
    <n v="12076.82"/>
    <x v="0"/>
  </r>
  <r>
    <s v="ORD10257"/>
    <d v="2024-03-04T00:00:00"/>
    <x v="0"/>
    <x v="4"/>
    <x v="2"/>
    <s v="Desk"/>
    <x v="6"/>
    <x v="0"/>
    <x v="1"/>
    <n v="6"/>
    <n v="3959"/>
    <n v="23754"/>
    <n v="16134.75"/>
    <n v="7619.25"/>
    <x v="0"/>
  </r>
  <r>
    <s v="ORD10258"/>
    <d v="2024-08-04T00:00:00"/>
    <x v="0"/>
    <x v="1"/>
    <x v="1"/>
    <s v="Phone"/>
    <x v="2"/>
    <x v="0"/>
    <x v="0"/>
    <n v="11"/>
    <n v="2199"/>
    <n v="24189"/>
    <n v="15392.93"/>
    <n v="8796.07"/>
    <x v="0"/>
  </r>
  <r>
    <s v="ORD10259"/>
    <d v="2024-02-15T00:00:00"/>
    <x v="2"/>
    <x v="4"/>
    <x v="2"/>
    <s v="Cabinet"/>
    <x v="3"/>
    <x v="5"/>
    <x v="1"/>
    <n v="12"/>
    <n v="3042"/>
    <n v="36504"/>
    <n v="30982"/>
    <n v="5522"/>
    <x v="0"/>
  </r>
  <r>
    <s v="ORD10260"/>
    <d v="2025-06-07T00:00:00"/>
    <x v="3"/>
    <x v="3"/>
    <x v="2"/>
    <s v="Cabinet"/>
    <x v="3"/>
    <x v="4"/>
    <x v="1"/>
    <n v="9"/>
    <n v="1625"/>
    <n v="14625"/>
    <n v="12059.42"/>
    <n v="2565.58"/>
    <x v="1"/>
  </r>
  <r>
    <s v="ORD10261"/>
    <d v="2025-06-14T00:00:00"/>
    <x v="2"/>
    <x v="3"/>
    <x v="2"/>
    <s v="Chair"/>
    <x v="7"/>
    <x v="3"/>
    <x v="0"/>
    <n v="2"/>
    <n v="1913"/>
    <n v="3826"/>
    <n v="2542.83"/>
    <n v="1283.17"/>
    <x v="1"/>
  </r>
  <r>
    <s v="ORD10262"/>
    <d v="2025-12-24T00:00:00"/>
    <x v="2"/>
    <x v="2"/>
    <x v="1"/>
    <s v="Phone"/>
    <x v="2"/>
    <x v="4"/>
    <x v="0"/>
    <n v="20"/>
    <n v="1664"/>
    <n v="33280"/>
    <n v="20301.759999999998"/>
    <n v="12978.24"/>
    <x v="1"/>
  </r>
  <r>
    <s v="ORD10263"/>
    <d v="2024-08-13T00:00:00"/>
    <x v="0"/>
    <x v="0"/>
    <x v="0"/>
    <s v="Paper"/>
    <x v="0"/>
    <x v="3"/>
    <x v="0"/>
    <n v="10"/>
    <n v="297"/>
    <n v="2970"/>
    <n v="2015.66"/>
    <n v="954.34"/>
    <x v="0"/>
  </r>
  <r>
    <s v="ORD10264"/>
    <d v="2024-02-18T00:00:00"/>
    <x v="1"/>
    <x v="4"/>
    <x v="2"/>
    <s v="Chair"/>
    <x v="7"/>
    <x v="0"/>
    <x v="0"/>
    <n v="9"/>
    <n v="773"/>
    <n v="6957"/>
    <n v="4105.01"/>
    <n v="2851.99"/>
    <x v="0"/>
  </r>
  <r>
    <s v="ORD10265"/>
    <d v="2025-02-18T00:00:00"/>
    <x v="1"/>
    <x v="1"/>
    <x v="0"/>
    <s v="Paper"/>
    <x v="0"/>
    <x v="7"/>
    <x v="0"/>
    <n v="4"/>
    <n v="3687"/>
    <n v="14748"/>
    <n v="9157.5300000000007"/>
    <n v="5590.47"/>
    <x v="1"/>
  </r>
  <r>
    <s v="ORD10266"/>
    <d v="2025-07-02T00:00:00"/>
    <x v="1"/>
    <x v="1"/>
    <x v="0"/>
    <s v="Paper"/>
    <x v="0"/>
    <x v="6"/>
    <x v="0"/>
    <n v="14"/>
    <n v="742"/>
    <n v="10388"/>
    <n v="6760.72"/>
    <n v="3627.28"/>
    <x v="1"/>
  </r>
  <r>
    <s v="ORD10267"/>
    <d v="2024-08-08T00:00:00"/>
    <x v="2"/>
    <x v="4"/>
    <x v="1"/>
    <s v="Phone"/>
    <x v="2"/>
    <x v="4"/>
    <x v="1"/>
    <n v="15"/>
    <n v="287"/>
    <n v="4305"/>
    <n v="2844.99"/>
    <n v="1460.01"/>
    <x v="0"/>
  </r>
  <r>
    <s v="ORD10268"/>
    <d v="2025-08-22T00:00:00"/>
    <x v="3"/>
    <x v="5"/>
    <x v="2"/>
    <s v="Cabinet"/>
    <x v="3"/>
    <x v="3"/>
    <x v="0"/>
    <n v="13"/>
    <n v="800"/>
    <n v="10400"/>
    <n v="5924.55"/>
    <n v="4475.45"/>
    <x v="1"/>
  </r>
  <r>
    <s v="ORD10269"/>
    <d v="2025-05-21T00:00:00"/>
    <x v="0"/>
    <x v="3"/>
    <x v="0"/>
    <s v="Pen"/>
    <x v="8"/>
    <x v="4"/>
    <x v="1"/>
    <n v="9"/>
    <n v="1248"/>
    <n v="11232"/>
    <n v="9074.02"/>
    <n v="2157.98"/>
    <x v="1"/>
  </r>
  <r>
    <s v="ORD10270"/>
    <d v="2024-04-07T00:00:00"/>
    <x v="3"/>
    <x v="2"/>
    <x v="0"/>
    <s v="Paper"/>
    <x v="0"/>
    <x v="2"/>
    <x v="0"/>
    <n v="18"/>
    <n v="4018"/>
    <n v="72324"/>
    <n v="45830.09"/>
    <n v="26493.91"/>
    <x v="0"/>
  </r>
  <r>
    <s v="ORD10271"/>
    <d v="2025-03-01T00:00:00"/>
    <x v="0"/>
    <x v="0"/>
    <x v="2"/>
    <s v="Cabinet"/>
    <x v="3"/>
    <x v="5"/>
    <x v="1"/>
    <n v="5"/>
    <n v="179"/>
    <n v="895"/>
    <n v="560.92999999999995"/>
    <n v="334.07"/>
    <x v="1"/>
  </r>
  <r>
    <s v="ORD10272"/>
    <d v="2024-09-10T00:00:00"/>
    <x v="3"/>
    <x v="0"/>
    <x v="2"/>
    <s v="Cabinet"/>
    <x v="3"/>
    <x v="5"/>
    <x v="1"/>
    <n v="15"/>
    <n v="2670"/>
    <n v="40050"/>
    <n v="23918.07"/>
    <n v="16131.93"/>
    <x v="0"/>
  </r>
  <r>
    <s v="ORD10273"/>
    <d v="2024-08-24T00:00:00"/>
    <x v="2"/>
    <x v="4"/>
    <x v="2"/>
    <s v="Cabinet"/>
    <x v="3"/>
    <x v="5"/>
    <x v="0"/>
    <n v="12"/>
    <n v="4463"/>
    <n v="53556"/>
    <n v="44462.67"/>
    <n v="9093.33"/>
    <x v="0"/>
  </r>
  <r>
    <s v="ORD10274"/>
    <d v="2025-10-30T00:00:00"/>
    <x v="1"/>
    <x v="5"/>
    <x v="0"/>
    <s v="Pen"/>
    <x v="8"/>
    <x v="1"/>
    <x v="0"/>
    <n v="7"/>
    <n v="593"/>
    <n v="4151"/>
    <n v="2898.35"/>
    <n v="1252.6500000000001"/>
    <x v="1"/>
  </r>
  <r>
    <s v="ORD10275"/>
    <d v="2025-01-18T00:00:00"/>
    <x v="3"/>
    <x v="1"/>
    <x v="2"/>
    <s v="Chair"/>
    <x v="7"/>
    <x v="1"/>
    <x v="1"/>
    <n v="17"/>
    <n v="644"/>
    <n v="10948"/>
    <n v="6194.63"/>
    <n v="4753.37"/>
    <x v="1"/>
  </r>
  <r>
    <s v="ORD10276"/>
    <d v="2024-12-18T00:00:00"/>
    <x v="1"/>
    <x v="3"/>
    <x v="1"/>
    <s v="Laptop"/>
    <x v="1"/>
    <x v="6"/>
    <x v="1"/>
    <n v="18"/>
    <n v="316"/>
    <n v="5688"/>
    <n v="3858.64"/>
    <n v="1829.36"/>
    <x v="0"/>
  </r>
  <r>
    <s v="ORD10277"/>
    <d v="2024-04-23T00:00:00"/>
    <x v="1"/>
    <x v="4"/>
    <x v="1"/>
    <s v="Laptop"/>
    <x v="1"/>
    <x v="7"/>
    <x v="1"/>
    <n v="2"/>
    <n v="703"/>
    <n v="1406"/>
    <n v="795.96"/>
    <n v="610.04"/>
    <x v="0"/>
  </r>
  <r>
    <s v="ORD10278"/>
    <d v="2024-10-28T00:00:00"/>
    <x v="1"/>
    <x v="2"/>
    <x v="0"/>
    <s v="Paper"/>
    <x v="0"/>
    <x v="4"/>
    <x v="1"/>
    <n v="14"/>
    <n v="773"/>
    <n v="10822"/>
    <n v="7263.9"/>
    <n v="3558.1"/>
    <x v="0"/>
  </r>
  <r>
    <s v="ORD10279"/>
    <d v="2025-07-26T00:00:00"/>
    <x v="0"/>
    <x v="4"/>
    <x v="2"/>
    <s v="Chair"/>
    <x v="7"/>
    <x v="0"/>
    <x v="0"/>
    <n v="19"/>
    <n v="2832"/>
    <n v="53808"/>
    <n v="32121.06"/>
    <n v="21686.94"/>
    <x v="1"/>
  </r>
  <r>
    <s v="ORD10280"/>
    <d v="2024-10-02T00:00:00"/>
    <x v="2"/>
    <x v="3"/>
    <x v="1"/>
    <s v="Phone"/>
    <x v="2"/>
    <x v="0"/>
    <x v="0"/>
    <n v="3"/>
    <n v="2218"/>
    <n v="6654"/>
    <n v="4256.28"/>
    <n v="2397.7199999999998"/>
    <x v="0"/>
  </r>
  <r>
    <s v="ORD10281"/>
    <d v="2025-07-08T00:00:00"/>
    <x v="3"/>
    <x v="0"/>
    <x v="1"/>
    <s v="Tablet"/>
    <x v="5"/>
    <x v="4"/>
    <x v="1"/>
    <n v="12"/>
    <n v="763"/>
    <n v="9156"/>
    <n v="5501.56"/>
    <n v="3654.44"/>
    <x v="1"/>
  </r>
  <r>
    <s v="ORD10282"/>
    <d v="2024-06-30T00:00:00"/>
    <x v="0"/>
    <x v="2"/>
    <x v="1"/>
    <s v="Laptop"/>
    <x v="1"/>
    <x v="1"/>
    <x v="0"/>
    <n v="19"/>
    <n v="273"/>
    <n v="5187"/>
    <n v="3909.38"/>
    <n v="1277.6199999999999"/>
    <x v="0"/>
  </r>
  <r>
    <s v="ORD10283"/>
    <d v="2025-01-30T00:00:00"/>
    <x v="1"/>
    <x v="5"/>
    <x v="1"/>
    <s v="Laptop"/>
    <x v="1"/>
    <x v="7"/>
    <x v="0"/>
    <n v="16"/>
    <n v="1374"/>
    <n v="21984"/>
    <n v="12837.83"/>
    <n v="9146.17"/>
    <x v="1"/>
  </r>
  <r>
    <s v="ORD10284"/>
    <d v="2025-01-09T00:00:00"/>
    <x v="2"/>
    <x v="4"/>
    <x v="0"/>
    <s v="Paper"/>
    <x v="0"/>
    <x v="7"/>
    <x v="0"/>
    <n v="17"/>
    <n v="4282"/>
    <n v="72794"/>
    <n v="60310.52"/>
    <n v="12483.48"/>
    <x v="1"/>
  </r>
  <r>
    <s v="ORD10285"/>
    <d v="2024-10-31T00:00:00"/>
    <x v="1"/>
    <x v="4"/>
    <x v="2"/>
    <s v="Desk"/>
    <x v="6"/>
    <x v="6"/>
    <x v="0"/>
    <n v="14"/>
    <n v="3112"/>
    <n v="43568"/>
    <n v="31745.34"/>
    <n v="11822.66"/>
    <x v="0"/>
  </r>
  <r>
    <s v="ORD10286"/>
    <d v="2024-03-03T00:00:00"/>
    <x v="0"/>
    <x v="4"/>
    <x v="1"/>
    <s v="Phone"/>
    <x v="2"/>
    <x v="7"/>
    <x v="0"/>
    <n v="18"/>
    <n v="1451"/>
    <n v="26118"/>
    <n v="19096.63"/>
    <n v="7021.37"/>
    <x v="0"/>
  </r>
  <r>
    <s v="ORD10287"/>
    <d v="2025-10-20T00:00:00"/>
    <x v="3"/>
    <x v="2"/>
    <x v="1"/>
    <s v="Laptop"/>
    <x v="1"/>
    <x v="6"/>
    <x v="0"/>
    <n v="15"/>
    <n v="1704"/>
    <n v="25560"/>
    <n v="16362.64"/>
    <n v="9197.36"/>
    <x v="1"/>
  </r>
  <r>
    <s v="ORD10288"/>
    <d v="2025-01-22T00:00:00"/>
    <x v="2"/>
    <x v="1"/>
    <x v="0"/>
    <s v="Paper"/>
    <x v="0"/>
    <x v="3"/>
    <x v="1"/>
    <n v="12"/>
    <n v="3020"/>
    <n v="36240"/>
    <n v="26316.720000000001"/>
    <n v="9923.2800000000007"/>
    <x v="1"/>
  </r>
  <r>
    <s v="ORD10289"/>
    <d v="2024-11-28T00:00:00"/>
    <x v="2"/>
    <x v="0"/>
    <x v="0"/>
    <s v="Paper"/>
    <x v="0"/>
    <x v="4"/>
    <x v="1"/>
    <n v="6"/>
    <n v="936"/>
    <n v="5616"/>
    <n v="4043.48"/>
    <n v="1572.52"/>
    <x v="0"/>
  </r>
  <r>
    <s v="ORD10290"/>
    <d v="2025-08-18T00:00:00"/>
    <x v="0"/>
    <x v="3"/>
    <x v="2"/>
    <s v="Desk"/>
    <x v="6"/>
    <x v="7"/>
    <x v="1"/>
    <n v="12"/>
    <n v="1177"/>
    <n v="14124"/>
    <n v="9032.3799999999992"/>
    <n v="5091.62"/>
    <x v="1"/>
  </r>
  <r>
    <s v="ORD10291"/>
    <d v="2024-02-29T00:00:00"/>
    <x v="3"/>
    <x v="0"/>
    <x v="0"/>
    <s v="Paper"/>
    <x v="0"/>
    <x v="3"/>
    <x v="1"/>
    <n v="13"/>
    <n v="1059"/>
    <n v="13767"/>
    <n v="11128.34"/>
    <n v="2638.66"/>
    <x v="0"/>
  </r>
  <r>
    <s v="ORD10292"/>
    <d v="2025-06-07T00:00:00"/>
    <x v="2"/>
    <x v="2"/>
    <x v="1"/>
    <s v="Laptop"/>
    <x v="1"/>
    <x v="1"/>
    <x v="1"/>
    <n v="14"/>
    <n v="433"/>
    <n v="6062"/>
    <n v="4970.2"/>
    <n v="1091.8"/>
    <x v="1"/>
  </r>
  <r>
    <s v="ORD10293"/>
    <d v="2025-03-07T00:00:00"/>
    <x v="0"/>
    <x v="2"/>
    <x v="1"/>
    <s v="Phone"/>
    <x v="2"/>
    <x v="2"/>
    <x v="1"/>
    <n v="8"/>
    <n v="4894"/>
    <n v="39152"/>
    <n v="23726.49"/>
    <n v="15425.51"/>
    <x v="1"/>
  </r>
  <r>
    <s v="ORD10294"/>
    <d v="2025-10-11T00:00:00"/>
    <x v="3"/>
    <x v="1"/>
    <x v="2"/>
    <s v="Desk"/>
    <x v="6"/>
    <x v="7"/>
    <x v="1"/>
    <n v="12"/>
    <n v="3475"/>
    <n v="41700"/>
    <n v="26498.75"/>
    <n v="15201.25"/>
    <x v="1"/>
  </r>
  <r>
    <s v="ORD10295"/>
    <d v="2024-11-11T00:00:00"/>
    <x v="3"/>
    <x v="3"/>
    <x v="0"/>
    <s v="Printer Ink"/>
    <x v="4"/>
    <x v="5"/>
    <x v="0"/>
    <n v="6"/>
    <n v="1327"/>
    <n v="7962"/>
    <n v="6648.2"/>
    <n v="1313.8"/>
    <x v="0"/>
  </r>
  <r>
    <s v="ORD10296"/>
    <d v="2024-05-22T00:00:00"/>
    <x v="0"/>
    <x v="5"/>
    <x v="2"/>
    <s v="Chair"/>
    <x v="7"/>
    <x v="5"/>
    <x v="0"/>
    <n v="13"/>
    <n v="4050"/>
    <n v="52650"/>
    <n v="33731.42"/>
    <n v="18918.580000000002"/>
    <x v="0"/>
  </r>
  <r>
    <s v="ORD10297"/>
    <d v="2025-03-08T00:00:00"/>
    <x v="3"/>
    <x v="0"/>
    <x v="0"/>
    <s v="Paper"/>
    <x v="0"/>
    <x v="5"/>
    <x v="0"/>
    <n v="12"/>
    <n v="3753"/>
    <n v="45036"/>
    <n v="33455.32"/>
    <n v="11580.68"/>
    <x v="1"/>
  </r>
  <r>
    <s v="ORD10298"/>
    <d v="2024-10-18T00:00:00"/>
    <x v="3"/>
    <x v="4"/>
    <x v="0"/>
    <s v="Paper"/>
    <x v="0"/>
    <x v="7"/>
    <x v="0"/>
    <n v="9"/>
    <n v="1172"/>
    <n v="10548"/>
    <n v="5994.54"/>
    <n v="4553.46"/>
    <x v="0"/>
  </r>
  <r>
    <s v="ORD10299"/>
    <d v="2024-12-12T00:00:00"/>
    <x v="0"/>
    <x v="2"/>
    <x v="0"/>
    <s v="Printer Ink"/>
    <x v="4"/>
    <x v="2"/>
    <x v="0"/>
    <n v="18"/>
    <n v="4258"/>
    <n v="76644"/>
    <n v="53304.31"/>
    <n v="23339.69"/>
    <x v="0"/>
  </r>
  <r>
    <s v="ORD10300"/>
    <d v="2025-05-05T00:00:00"/>
    <x v="2"/>
    <x v="4"/>
    <x v="1"/>
    <s v="Laptop"/>
    <x v="1"/>
    <x v="6"/>
    <x v="0"/>
    <n v="15"/>
    <n v="3992"/>
    <n v="59880"/>
    <n v="36918.86"/>
    <n v="22961.14"/>
    <x v="1"/>
  </r>
  <r>
    <s v="ORD10301"/>
    <d v="2024-07-27T00:00:00"/>
    <x v="2"/>
    <x v="2"/>
    <x v="1"/>
    <s v="Phone"/>
    <x v="2"/>
    <x v="4"/>
    <x v="1"/>
    <n v="16"/>
    <n v="1878"/>
    <n v="30048"/>
    <n v="16892.77"/>
    <n v="13155.23"/>
    <x v="0"/>
  </r>
  <r>
    <s v="ORD10302"/>
    <d v="2025-08-04T00:00:00"/>
    <x v="0"/>
    <x v="2"/>
    <x v="2"/>
    <s v="Cabinet"/>
    <x v="3"/>
    <x v="7"/>
    <x v="1"/>
    <n v="15"/>
    <n v="1068"/>
    <n v="16020"/>
    <n v="13267.03"/>
    <n v="2752.97"/>
    <x v="1"/>
  </r>
  <r>
    <s v="ORD10303"/>
    <d v="2025-11-08T00:00:00"/>
    <x v="0"/>
    <x v="3"/>
    <x v="1"/>
    <s v="Tablet"/>
    <x v="5"/>
    <x v="5"/>
    <x v="0"/>
    <n v="2"/>
    <n v="390"/>
    <n v="780"/>
    <n v="592.04999999999995"/>
    <n v="187.95"/>
    <x v="1"/>
  </r>
  <r>
    <s v="ORD10304"/>
    <d v="2025-12-04T00:00:00"/>
    <x v="0"/>
    <x v="0"/>
    <x v="0"/>
    <s v="Printer Ink"/>
    <x v="4"/>
    <x v="0"/>
    <x v="1"/>
    <n v="5"/>
    <n v="1512"/>
    <n v="7560"/>
    <n v="5131.47"/>
    <n v="2428.5300000000002"/>
    <x v="1"/>
  </r>
  <r>
    <s v="ORD10305"/>
    <d v="2024-05-22T00:00:00"/>
    <x v="3"/>
    <x v="3"/>
    <x v="2"/>
    <s v="Cabinet"/>
    <x v="3"/>
    <x v="2"/>
    <x v="0"/>
    <n v="13"/>
    <n v="855"/>
    <n v="11115"/>
    <n v="6353.95"/>
    <n v="4761.05"/>
    <x v="0"/>
  </r>
  <r>
    <s v="ORD10306"/>
    <d v="2024-11-09T00:00:00"/>
    <x v="3"/>
    <x v="5"/>
    <x v="0"/>
    <s v="Paper"/>
    <x v="0"/>
    <x v="7"/>
    <x v="0"/>
    <n v="5"/>
    <n v="3843"/>
    <n v="19215"/>
    <n v="11330.37"/>
    <n v="7884.63"/>
    <x v="0"/>
  </r>
  <r>
    <s v="ORD10307"/>
    <d v="2025-07-27T00:00:00"/>
    <x v="2"/>
    <x v="4"/>
    <x v="2"/>
    <s v="Chair"/>
    <x v="7"/>
    <x v="1"/>
    <x v="1"/>
    <n v="13"/>
    <n v="2564"/>
    <n v="33332"/>
    <n v="24243.95"/>
    <n v="9088.0499999999993"/>
    <x v="1"/>
  </r>
  <r>
    <s v="ORD10308"/>
    <d v="2025-09-15T00:00:00"/>
    <x v="0"/>
    <x v="0"/>
    <x v="0"/>
    <s v="Paper"/>
    <x v="0"/>
    <x v="4"/>
    <x v="0"/>
    <n v="3"/>
    <n v="1566"/>
    <n v="4698"/>
    <n v="2889"/>
    <n v="1809"/>
    <x v="1"/>
  </r>
  <r>
    <s v="ORD10309"/>
    <d v="2024-10-30T00:00:00"/>
    <x v="3"/>
    <x v="4"/>
    <x v="0"/>
    <s v="Paper"/>
    <x v="0"/>
    <x v="5"/>
    <x v="0"/>
    <n v="4"/>
    <n v="507"/>
    <n v="2028"/>
    <n v="1175.28"/>
    <n v="852.72"/>
    <x v="0"/>
  </r>
  <r>
    <s v="ORD10310"/>
    <d v="2024-10-12T00:00:00"/>
    <x v="2"/>
    <x v="1"/>
    <x v="2"/>
    <s v="Desk"/>
    <x v="6"/>
    <x v="6"/>
    <x v="0"/>
    <n v="10"/>
    <n v="3825"/>
    <n v="38250"/>
    <n v="31264.18"/>
    <n v="6985.82"/>
    <x v="0"/>
  </r>
  <r>
    <s v="ORD10311"/>
    <d v="2025-09-04T00:00:00"/>
    <x v="1"/>
    <x v="2"/>
    <x v="1"/>
    <s v="Tablet"/>
    <x v="5"/>
    <x v="4"/>
    <x v="1"/>
    <n v="19"/>
    <n v="4743"/>
    <n v="90117"/>
    <n v="58822.49"/>
    <n v="31294.51"/>
    <x v="1"/>
  </r>
  <r>
    <s v="ORD10312"/>
    <d v="2025-04-29T00:00:00"/>
    <x v="3"/>
    <x v="3"/>
    <x v="0"/>
    <s v="Paper"/>
    <x v="0"/>
    <x v="0"/>
    <x v="0"/>
    <n v="12"/>
    <n v="3971"/>
    <n v="47652"/>
    <n v="36495.75"/>
    <n v="11156.25"/>
    <x v="1"/>
  </r>
  <r>
    <s v="ORD10313"/>
    <d v="2025-05-26T00:00:00"/>
    <x v="2"/>
    <x v="1"/>
    <x v="0"/>
    <s v="Paper"/>
    <x v="0"/>
    <x v="1"/>
    <x v="0"/>
    <n v="11"/>
    <n v="4150"/>
    <n v="45650"/>
    <n v="28201.32"/>
    <n v="17448.68"/>
    <x v="1"/>
  </r>
  <r>
    <s v="ORD10314"/>
    <d v="2024-01-07T00:00:00"/>
    <x v="2"/>
    <x v="1"/>
    <x v="2"/>
    <s v="Cabinet"/>
    <x v="3"/>
    <x v="3"/>
    <x v="1"/>
    <n v="10"/>
    <n v="750"/>
    <n v="7500"/>
    <n v="5884.53"/>
    <n v="1615.47"/>
    <x v="0"/>
  </r>
  <r>
    <s v="ORD10315"/>
    <d v="2025-08-08T00:00:00"/>
    <x v="0"/>
    <x v="4"/>
    <x v="2"/>
    <s v="Desk"/>
    <x v="6"/>
    <x v="5"/>
    <x v="1"/>
    <n v="18"/>
    <n v="2146"/>
    <n v="38628"/>
    <n v="32255.78"/>
    <n v="6372.22"/>
    <x v="1"/>
  </r>
  <r>
    <s v="ORD10316"/>
    <d v="2025-10-14T00:00:00"/>
    <x v="0"/>
    <x v="0"/>
    <x v="2"/>
    <s v="Desk"/>
    <x v="6"/>
    <x v="2"/>
    <x v="1"/>
    <n v="16"/>
    <n v="1384"/>
    <n v="22144"/>
    <n v="13094.15"/>
    <n v="9049.85"/>
    <x v="1"/>
  </r>
  <r>
    <s v="ORD10317"/>
    <d v="2025-05-10T00:00:00"/>
    <x v="0"/>
    <x v="0"/>
    <x v="2"/>
    <s v="Chair"/>
    <x v="7"/>
    <x v="0"/>
    <x v="0"/>
    <n v="17"/>
    <n v="1161"/>
    <n v="19737"/>
    <n v="16587.580000000002"/>
    <n v="3149.42"/>
    <x v="1"/>
  </r>
  <r>
    <s v="ORD10318"/>
    <d v="2025-07-22T00:00:00"/>
    <x v="1"/>
    <x v="0"/>
    <x v="2"/>
    <s v="Chair"/>
    <x v="7"/>
    <x v="4"/>
    <x v="0"/>
    <n v="3"/>
    <n v="4431"/>
    <n v="13293"/>
    <n v="10630.36"/>
    <n v="2662.64"/>
    <x v="1"/>
  </r>
  <r>
    <s v="ORD10319"/>
    <d v="2025-09-25T00:00:00"/>
    <x v="3"/>
    <x v="5"/>
    <x v="0"/>
    <s v="Pen"/>
    <x v="8"/>
    <x v="1"/>
    <x v="0"/>
    <n v="20"/>
    <n v="2132"/>
    <n v="42640"/>
    <n v="29283.25"/>
    <n v="13356.75"/>
    <x v="1"/>
  </r>
  <r>
    <s v="ORD10320"/>
    <d v="2024-05-12T00:00:00"/>
    <x v="2"/>
    <x v="5"/>
    <x v="2"/>
    <s v="Desk"/>
    <x v="6"/>
    <x v="4"/>
    <x v="1"/>
    <n v="17"/>
    <n v="3756"/>
    <n v="63852"/>
    <n v="41551.43"/>
    <n v="22300.57"/>
    <x v="0"/>
  </r>
  <r>
    <s v="ORD10321"/>
    <d v="2025-08-23T00:00:00"/>
    <x v="1"/>
    <x v="1"/>
    <x v="2"/>
    <s v="Desk"/>
    <x v="6"/>
    <x v="1"/>
    <x v="0"/>
    <n v="14"/>
    <n v="3684"/>
    <n v="51576"/>
    <n v="33507.870000000003"/>
    <n v="18068.13"/>
    <x v="1"/>
  </r>
  <r>
    <s v="ORD10322"/>
    <d v="2025-01-26T00:00:00"/>
    <x v="1"/>
    <x v="1"/>
    <x v="0"/>
    <s v="Pen"/>
    <x v="8"/>
    <x v="7"/>
    <x v="0"/>
    <n v="17"/>
    <n v="1938"/>
    <n v="32946"/>
    <n v="22322.63"/>
    <n v="10623.37"/>
    <x v="1"/>
  </r>
  <r>
    <s v="ORD10323"/>
    <d v="2024-10-06T00:00:00"/>
    <x v="2"/>
    <x v="5"/>
    <x v="2"/>
    <s v="Cabinet"/>
    <x v="3"/>
    <x v="5"/>
    <x v="1"/>
    <n v="11"/>
    <n v="395"/>
    <n v="4345"/>
    <n v="2471.36"/>
    <n v="1873.64"/>
    <x v="0"/>
  </r>
  <r>
    <s v="ORD10324"/>
    <d v="2024-06-01T00:00:00"/>
    <x v="2"/>
    <x v="0"/>
    <x v="1"/>
    <s v="Tablet"/>
    <x v="5"/>
    <x v="4"/>
    <x v="0"/>
    <n v="19"/>
    <n v="680"/>
    <n v="12920"/>
    <n v="10084.31"/>
    <n v="2835.69"/>
    <x v="0"/>
  </r>
  <r>
    <s v="ORD10325"/>
    <d v="2024-03-13T00:00:00"/>
    <x v="0"/>
    <x v="4"/>
    <x v="1"/>
    <s v="Laptop"/>
    <x v="1"/>
    <x v="0"/>
    <x v="1"/>
    <n v="10"/>
    <n v="3089"/>
    <n v="30890"/>
    <n v="20377.939999999999"/>
    <n v="10512.06"/>
    <x v="0"/>
  </r>
  <r>
    <s v="ORD10326"/>
    <d v="2025-09-22T00:00:00"/>
    <x v="0"/>
    <x v="1"/>
    <x v="0"/>
    <s v="Pen"/>
    <x v="8"/>
    <x v="5"/>
    <x v="0"/>
    <n v="14"/>
    <n v="3856"/>
    <n v="53984"/>
    <n v="43649.94"/>
    <n v="10334.06"/>
    <x v="1"/>
  </r>
  <r>
    <s v="ORD10327"/>
    <d v="2025-03-04T00:00:00"/>
    <x v="2"/>
    <x v="3"/>
    <x v="0"/>
    <s v="Printer Ink"/>
    <x v="4"/>
    <x v="1"/>
    <x v="0"/>
    <n v="16"/>
    <n v="596"/>
    <n v="9536"/>
    <n v="7652.6"/>
    <n v="1883.4"/>
    <x v="1"/>
  </r>
  <r>
    <s v="ORD10328"/>
    <d v="2025-05-20T00:00:00"/>
    <x v="3"/>
    <x v="4"/>
    <x v="1"/>
    <s v="Tablet"/>
    <x v="5"/>
    <x v="4"/>
    <x v="1"/>
    <n v="5"/>
    <n v="4213"/>
    <n v="21065"/>
    <n v="16937.169999999998"/>
    <n v="4127.83"/>
    <x v="1"/>
  </r>
  <r>
    <s v="ORD10329"/>
    <d v="2025-04-11T00:00:00"/>
    <x v="0"/>
    <x v="3"/>
    <x v="0"/>
    <s v="Pen"/>
    <x v="8"/>
    <x v="3"/>
    <x v="1"/>
    <n v="17"/>
    <n v="1383"/>
    <n v="23511"/>
    <n v="15271.9"/>
    <n v="8239.1"/>
    <x v="1"/>
  </r>
  <r>
    <s v="ORD10330"/>
    <d v="2024-10-06T00:00:00"/>
    <x v="1"/>
    <x v="0"/>
    <x v="1"/>
    <s v="Phone"/>
    <x v="2"/>
    <x v="2"/>
    <x v="1"/>
    <n v="20"/>
    <n v="4030"/>
    <n v="80600"/>
    <n v="51206.78"/>
    <n v="29393.22"/>
    <x v="0"/>
  </r>
  <r>
    <s v="ORD10331"/>
    <d v="2024-02-15T00:00:00"/>
    <x v="3"/>
    <x v="1"/>
    <x v="2"/>
    <s v="Chair"/>
    <x v="7"/>
    <x v="5"/>
    <x v="1"/>
    <n v="19"/>
    <n v="4670"/>
    <n v="88730"/>
    <n v="56794.46"/>
    <n v="31935.54"/>
    <x v="0"/>
  </r>
  <r>
    <s v="ORD10332"/>
    <d v="2024-12-23T00:00:00"/>
    <x v="1"/>
    <x v="3"/>
    <x v="0"/>
    <s v="Printer Ink"/>
    <x v="4"/>
    <x v="7"/>
    <x v="1"/>
    <n v="19"/>
    <n v="4018"/>
    <n v="76342"/>
    <n v="50869.41"/>
    <n v="25472.59"/>
    <x v="0"/>
  </r>
  <r>
    <s v="ORD10333"/>
    <d v="2025-07-22T00:00:00"/>
    <x v="1"/>
    <x v="1"/>
    <x v="1"/>
    <s v="Laptop"/>
    <x v="1"/>
    <x v="6"/>
    <x v="1"/>
    <n v="8"/>
    <n v="1470"/>
    <n v="11760"/>
    <n v="9235.41"/>
    <n v="2524.59"/>
    <x v="1"/>
  </r>
  <r>
    <s v="ORD10334"/>
    <d v="2024-01-20T00:00:00"/>
    <x v="0"/>
    <x v="0"/>
    <x v="2"/>
    <s v="Chair"/>
    <x v="7"/>
    <x v="0"/>
    <x v="1"/>
    <n v="9"/>
    <n v="1874"/>
    <n v="16866"/>
    <n v="13191.77"/>
    <n v="3674.23"/>
    <x v="0"/>
  </r>
  <r>
    <s v="ORD10335"/>
    <d v="2025-12-03T00:00:00"/>
    <x v="0"/>
    <x v="2"/>
    <x v="0"/>
    <s v="Paper"/>
    <x v="0"/>
    <x v="1"/>
    <x v="1"/>
    <n v="5"/>
    <n v="2297"/>
    <n v="11485"/>
    <n v="6404.21"/>
    <n v="5080.79"/>
    <x v="1"/>
  </r>
  <r>
    <s v="ORD10336"/>
    <d v="2024-05-21T00:00:00"/>
    <x v="3"/>
    <x v="0"/>
    <x v="0"/>
    <s v="Printer Ink"/>
    <x v="4"/>
    <x v="0"/>
    <x v="1"/>
    <n v="17"/>
    <n v="2241"/>
    <n v="38097"/>
    <n v="27671.56"/>
    <n v="10425.44"/>
    <x v="0"/>
  </r>
  <r>
    <s v="ORD10337"/>
    <d v="2024-06-25T00:00:00"/>
    <x v="0"/>
    <x v="5"/>
    <x v="2"/>
    <s v="Desk"/>
    <x v="6"/>
    <x v="2"/>
    <x v="1"/>
    <n v="15"/>
    <n v="4830"/>
    <n v="72450"/>
    <n v="46850.38"/>
    <n v="25599.62"/>
    <x v="0"/>
  </r>
  <r>
    <s v="ORD10338"/>
    <d v="2025-03-08T00:00:00"/>
    <x v="2"/>
    <x v="4"/>
    <x v="2"/>
    <s v="Desk"/>
    <x v="6"/>
    <x v="5"/>
    <x v="0"/>
    <n v="15"/>
    <n v="3050"/>
    <n v="45750"/>
    <n v="31214.23"/>
    <n v="14535.77"/>
    <x v="1"/>
  </r>
  <r>
    <s v="ORD10339"/>
    <d v="2025-07-01T00:00:00"/>
    <x v="2"/>
    <x v="3"/>
    <x v="2"/>
    <s v="Chair"/>
    <x v="7"/>
    <x v="4"/>
    <x v="0"/>
    <n v="3"/>
    <n v="212"/>
    <n v="636"/>
    <n v="502.29"/>
    <n v="133.71"/>
    <x v="1"/>
  </r>
  <r>
    <s v="ORD10340"/>
    <d v="2024-04-14T00:00:00"/>
    <x v="1"/>
    <x v="0"/>
    <x v="1"/>
    <s v="Laptop"/>
    <x v="1"/>
    <x v="2"/>
    <x v="0"/>
    <n v="6"/>
    <n v="3631"/>
    <n v="21786"/>
    <n v="14175.14"/>
    <n v="7610.86"/>
    <x v="0"/>
  </r>
  <r>
    <s v="ORD10341"/>
    <d v="2025-12-12T00:00:00"/>
    <x v="3"/>
    <x v="3"/>
    <x v="0"/>
    <s v="Paper"/>
    <x v="0"/>
    <x v="1"/>
    <x v="1"/>
    <n v="18"/>
    <n v="3640"/>
    <n v="65520"/>
    <n v="48050.66"/>
    <n v="17469.34"/>
    <x v="1"/>
  </r>
  <r>
    <s v="ORD10342"/>
    <d v="2025-03-14T00:00:00"/>
    <x v="2"/>
    <x v="5"/>
    <x v="2"/>
    <s v="Cabinet"/>
    <x v="3"/>
    <x v="6"/>
    <x v="1"/>
    <n v="6"/>
    <n v="836"/>
    <n v="5016"/>
    <n v="3898.59"/>
    <n v="1117.4100000000001"/>
    <x v="1"/>
  </r>
  <r>
    <s v="ORD10343"/>
    <d v="2025-04-05T00:00:00"/>
    <x v="3"/>
    <x v="1"/>
    <x v="1"/>
    <s v="Tablet"/>
    <x v="5"/>
    <x v="4"/>
    <x v="1"/>
    <n v="15"/>
    <n v="1864"/>
    <n v="27960"/>
    <n v="17251.87"/>
    <n v="10708.13"/>
    <x v="1"/>
  </r>
  <r>
    <s v="ORD10344"/>
    <d v="2024-10-22T00:00:00"/>
    <x v="2"/>
    <x v="1"/>
    <x v="1"/>
    <s v="Phone"/>
    <x v="2"/>
    <x v="6"/>
    <x v="1"/>
    <n v="4"/>
    <n v="3192"/>
    <n v="12768"/>
    <n v="10551.01"/>
    <n v="2216.9899999999998"/>
    <x v="0"/>
  </r>
  <r>
    <s v="ORD10345"/>
    <d v="2024-03-09T00:00:00"/>
    <x v="1"/>
    <x v="0"/>
    <x v="1"/>
    <s v="Laptop"/>
    <x v="1"/>
    <x v="3"/>
    <x v="1"/>
    <n v="17"/>
    <n v="3943"/>
    <n v="67031"/>
    <n v="40398.019999999997"/>
    <n v="26632.98"/>
    <x v="0"/>
  </r>
  <r>
    <s v="ORD10346"/>
    <d v="2025-06-07T00:00:00"/>
    <x v="0"/>
    <x v="2"/>
    <x v="2"/>
    <s v="Desk"/>
    <x v="6"/>
    <x v="4"/>
    <x v="0"/>
    <n v="15"/>
    <n v="2430"/>
    <n v="36450"/>
    <n v="26010.11"/>
    <n v="10439.89"/>
    <x v="1"/>
  </r>
  <r>
    <s v="ORD10347"/>
    <d v="2025-09-28T00:00:00"/>
    <x v="3"/>
    <x v="3"/>
    <x v="2"/>
    <s v="Desk"/>
    <x v="6"/>
    <x v="2"/>
    <x v="0"/>
    <n v="1"/>
    <n v="3450"/>
    <n v="3450"/>
    <n v="2052.5300000000002"/>
    <n v="1397.47"/>
    <x v="1"/>
  </r>
  <r>
    <s v="ORD10348"/>
    <d v="2024-10-02T00:00:00"/>
    <x v="3"/>
    <x v="0"/>
    <x v="0"/>
    <s v="Paper"/>
    <x v="0"/>
    <x v="1"/>
    <x v="1"/>
    <n v="8"/>
    <n v="1498"/>
    <n v="11984"/>
    <n v="9677.09"/>
    <n v="2306.91"/>
    <x v="0"/>
  </r>
  <r>
    <s v="ORD10349"/>
    <d v="2025-03-30T00:00:00"/>
    <x v="0"/>
    <x v="4"/>
    <x v="0"/>
    <s v="Paper"/>
    <x v="0"/>
    <x v="0"/>
    <x v="1"/>
    <n v="2"/>
    <n v="1347"/>
    <n v="2694"/>
    <n v="1970.2"/>
    <n v="723.8"/>
    <x v="1"/>
  </r>
  <r>
    <s v="ORD10350"/>
    <d v="2025-11-15T00:00:00"/>
    <x v="0"/>
    <x v="1"/>
    <x v="2"/>
    <s v="Chair"/>
    <x v="7"/>
    <x v="6"/>
    <x v="1"/>
    <n v="18"/>
    <n v="2250"/>
    <n v="40500"/>
    <n v="28172.41"/>
    <n v="12327.59"/>
    <x v="1"/>
  </r>
  <r>
    <s v="ORD10351"/>
    <d v="2025-01-15T00:00:00"/>
    <x v="3"/>
    <x v="1"/>
    <x v="0"/>
    <s v="Pen"/>
    <x v="8"/>
    <x v="1"/>
    <x v="1"/>
    <n v="17"/>
    <n v="2623"/>
    <n v="44591"/>
    <n v="29064.7"/>
    <n v="15526.3"/>
    <x v="1"/>
  </r>
  <r>
    <s v="ORD10352"/>
    <d v="2025-07-05T00:00:00"/>
    <x v="2"/>
    <x v="2"/>
    <x v="0"/>
    <s v="Printer Ink"/>
    <x v="4"/>
    <x v="1"/>
    <x v="1"/>
    <n v="18"/>
    <n v="3457"/>
    <n v="62226"/>
    <n v="37305.22"/>
    <n v="24920.78"/>
    <x v="1"/>
  </r>
  <r>
    <s v="ORD10353"/>
    <d v="2024-05-10T00:00:00"/>
    <x v="1"/>
    <x v="0"/>
    <x v="2"/>
    <s v="Desk"/>
    <x v="6"/>
    <x v="7"/>
    <x v="0"/>
    <n v="4"/>
    <n v="1419"/>
    <n v="5676"/>
    <n v="4120.3500000000004"/>
    <n v="1555.65"/>
    <x v="0"/>
  </r>
  <r>
    <s v="ORD10354"/>
    <d v="2024-08-22T00:00:00"/>
    <x v="2"/>
    <x v="3"/>
    <x v="0"/>
    <s v="Printer Ink"/>
    <x v="4"/>
    <x v="0"/>
    <x v="1"/>
    <n v="6"/>
    <n v="1449"/>
    <n v="8694"/>
    <n v="6734.28"/>
    <n v="1959.72"/>
    <x v="0"/>
  </r>
  <r>
    <s v="ORD10355"/>
    <d v="2025-10-27T00:00:00"/>
    <x v="0"/>
    <x v="4"/>
    <x v="2"/>
    <s v="Cabinet"/>
    <x v="3"/>
    <x v="2"/>
    <x v="0"/>
    <n v="16"/>
    <n v="4183"/>
    <n v="66928"/>
    <n v="54510.98"/>
    <n v="12417.02"/>
    <x v="1"/>
  </r>
  <r>
    <s v="ORD10356"/>
    <d v="2024-10-28T00:00:00"/>
    <x v="0"/>
    <x v="2"/>
    <x v="0"/>
    <s v="Pen"/>
    <x v="8"/>
    <x v="6"/>
    <x v="0"/>
    <n v="6"/>
    <n v="4440"/>
    <n v="26640"/>
    <n v="18059.34"/>
    <n v="8580.66"/>
    <x v="0"/>
  </r>
  <r>
    <s v="ORD10357"/>
    <d v="2025-08-20T00:00:00"/>
    <x v="1"/>
    <x v="4"/>
    <x v="1"/>
    <s v="Tablet"/>
    <x v="5"/>
    <x v="0"/>
    <x v="1"/>
    <n v="17"/>
    <n v="1846"/>
    <n v="31382"/>
    <n v="19353.740000000002"/>
    <n v="12028.26"/>
    <x v="1"/>
  </r>
  <r>
    <s v="ORD10358"/>
    <d v="2025-10-02T00:00:00"/>
    <x v="0"/>
    <x v="0"/>
    <x v="1"/>
    <s v="Phone"/>
    <x v="2"/>
    <x v="3"/>
    <x v="1"/>
    <n v="1"/>
    <n v="2370"/>
    <n v="2370"/>
    <n v="1730.88"/>
    <n v="639.12"/>
    <x v="1"/>
  </r>
  <r>
    <s v="ORD10359"/>
    <d v="2025-09-23T00:00:00"/>
    <x v="1"/>
    <x v="5"/>
    <x v="0"/>
    <s v="Printer Ink"/>
    <x v="4"/>
    <x v="4"/>
    <x v="1"/>
    <n v="20"/>
    <n v="2486"/>
    <n v="49720"/>
    <n v="29936.54"/>
    <n v="19783.46"/>
    <x v="1"/>
  </r>
  <r>
    <s v="ORD10360"/>
    <d v="2024-01-12T00:00:00"/>
    <x v="2"/>
    <x v="5"/>
    <x v="2"/>
    <s v="Cabinet"/>
    <x v="3"/>
    <x v="7"/>
    <x v="1"/>
    <n v="3"/>
    <n v="4303"/>
    <n v="12909"/>
    <n v="8817.39"/>
    <n v="4091.61"/>
    <x v="0"/>
  </r>
  <r>
    <s v="ORD10361"/>
    <d v="2024-05-16T00:00:00"/>
    <x v="0"/>
    <x v="0"/>
    <x v="1"/>
    <s v="Phone"/>
    <x v="2"/>
    <x v="3"/>
    <x v="0"/>
    <n v="15"/>
    <n v="600"/>
    <n v="9000"/>
    <n v="5505.17"/>
    <n v="3494.83"/>
    <x v="0"/>
  </r>
  <r>
    <s v="ORD10362"/>
    <d v="2024-03-28T00:00:00"/>
    <x v="0"/>
    <x v="1"/>
    <x v="0"/>
    <s v="Paper"/>
    <x v="0"/>
    <x v="5"/>
    <x v="0"/>
    <n v="7"/>
    <n v="404"/>
    <n v="2828"/>
    <n v="1670.75"/>
    <n v="1157.25"/>
    <x v="0"/>
  </r>
  <r>
    <s v="ORD10363"/>
    <d v="2024-06-04T00:00:00"/>
    <x v="1"/>
    <x v="2"/>
    <x v="2"/>
    <s v="Desk"/>
    <x v="6"/>
    <x v="2"/>
    <x v="1"/>
    <n v="7"/>
    <n v="2871"/>
    <n v="20097"/>
    <n v="16419.89"/>
    <n v="3677.11"/>
    <x v="0"/>
  </r>
  <r>
    <s v="ORD10364"/>
    <d v="2024-06-18T00:00:00"/>
    <x v="3"/>
    <x v="0"/>
    <x v="1"/>
    <s v="Phone"/>
    <x v="2"/>
    <x v="0"/>
    <x v="1"/>
    <n v="9"/>
    <n v="3371"/>
    <n v="30339"/>
    <n v="19240.48"/>
    <n v="11098.52"/>
    <x v="0"/>
  </r>
  <r>
    <s v="ORD10365"/>
    <d v="2024-09-01T00:00:00"/>
    <x v="0"/>
    <x v="3"/>
    <x v="0"/>
    <s v="Pen"/>
    <x v="8"/>
    <x v="1"/>
    <x v="1"/>
    <n v="19"/>
    <n v="2339"/>
    <n v="44441"/>
    <n v="31658"/>
    <n v="12783"/>
    <x v="0"/>
  </r>
  <r>
    <s v="ORD10366"/>
    <d v="2024-12-01T00:00:00"/>
    <x v="0"/>
    <x v="0"/>
    <x v="0"/>
    <s v="Pen"/>
    <x v="8"/>
    <x v="2"/>
    <x v="0"/>
    <n v="12"/>
    <n v="4538"/>
    <n v="54456"/>
    <n v="39552.449999999997"/>
    <n v="14903.55"/>
    <x v="0"/>
  </r>
  <r>
    <s v="ORD10367"/>
    <d v="2024-10-11T00:00:00"/>
    <x v="0"/>
    <x v="4"/>
    <x v="2"/>
    <s v="Desk"/>
    <x v="6"/>
    <x v="5"/>
    <x v="1"/>
    <n v="5"/>
    <n v="600"/>
    <n v="3000"/>
    <n v="2179.75"/>
    <n v="820.25"/>
    <x v="0"/>
  </r>
  <r>
    <s v="ORD10368"/>
    <d v="2025-11-01T00:00:00"/>
    <x v="3"/>
    <x v="2"/>
    <x v="2"/>
    <s v="Desk"/>
    <x v="6"/>
    <x v="5"/>
    <x v="0"/>
    <n v="20"/>
    <n v="3488"/>
    <n v="69760"/>
    <n v="44352.62"/>
    <n v="25407.38"/>
    <x v="1"/>
  </r>
  <r>
    <s v="ORD10369"/>
    <d v="2025-08-29T00:00:00"/>
    <x v="1"/>
    <x v="3"/>
    <x v="2"/>
    <s v="Chair"/>
    <x v="7"/>
    <x v="0"/>
    <x v="0"/>
    <n v="1"/>
    <n v="2595"/>
    <n v="2595"/>
    <n v="1907.24"/>
    <n v="687.76"/>
    <x v="1"/>
  </r>
  <r>
    <s v="ORD10370"/>
    <d v="2025-06-18T00:00:00"/>
    <x v="2"/>
    <x v="1"/>
    <x v="2"/>
    <s v="Desk"/>
    <x v="6"/>
    <x v="0"/>
    <x v="1"/>
    <n v="17"/>
    <n v="4576"/>
    <n v="77792"/>
    <n v="49553.54"/>
    <n v="28238.46"/>
    <x v="1"/>
  </r>
  <r>
    <s v="ORD10371"/>
    <d v="2025-08-07T00:00:00"/>
    <x v="2"/>
    <x v="1"/>
    <x v="0"/>
    <s v="Printer Ink"/>
    <x v="4"/>
    <x v="5"/>
    <x v="1"/>
    <n v="16"/>
    <n v="2150"/>
    <n v="34400"/>
    <n v="25310.36"/>
    <n v="9089.64"/>
    <x v="1"/>
  </r>
  <r>
    <s v="ORD10372"/>
    <d v="2024-06-24T00:00:00"/>
    <x v="3"/>
    <x v="4"/>
    <x v="2"/>
    <s v="Chair"/>
    <x v="7"/>
    <x v="3"/>
    <x v="0"/>
    <n v="20"/>
    <n v="2463"/>
    <n v="49260"/>
    <n v="40490.339999999997"/>
    <n v="8769.66"/>
    <x v="0"/>
  </r>
  <r>
    <s v="ORD10373"/>
    <d v="2025-12-13T00:00:00"/>
    <x v="1"/>
    <x v="0"/>
    <x v="0"/>
    <s v="Pen"/>
    <x v="8"/>
    <x v="1"/>
    <x v="1"/>
    <n v="17"/>
    <n v="2733"/>
    <n v="46461"/>
    <n v="31252.51"/>
    <n v="15208.49"/>
    <x v="1"/>
  </r>
  <r>
    <s v="ORD10374"/>
    <d v="2024-08-27T00:00:00"/>
    <x v="3"/>
    <x v="1"/>
    <x v="0"/>
    <s v="Pen"/>
    <x v="8"/>
    <x v="4"/>
    <x v="1"/>
    <n v="7"/>
    <n v="868"/>
    <n v="6076"/>
    <n v="4429.22"/>
    <n v="1646.78"/>
    <x v="0"/>
  </r>
  <r>
    <s v="ORD10375"/>
    <d v="2025-01-16T00:00:00"/>
    <x v="1"/>
    <x v="2"/>
    <x v="0"/>
    <s v="Printer Ink"/>
    <x v="4"/>
    <x v="6"/>
    <x v="0"/>
    <n v="5"/>
    <n v="1896"/>
    <n v="9480"/>
    <n v="7688.74"/>
    <n v="1791.26"/>
    <x v="1"/>
  </r>
  <r>
    <s v="ORD10376"/>
    <d v="2025-04-19T00:00:00"/>
    <x v="1"/>
    <x v="0"/>
    <x v="0"/>
    <s v="Printer Ink"/>
    <x v="4"/>
    <x v="4"/>
    <x v="1"/>
    <n v="15"/>
    <n v="4733"/>
    <n v="70995"/>
    <n v="50773.87"/>
    <n v="20221.13"/>
    <x v="1"/>
  </r>
  <r>
    <s v="ORD10377"/>
    <d v="2025-03-03T00:00:00"/>
    <x v="3"/>
    <x v="2"/>
    <x v="2"/>
    <s v="Cabinet"/>
    <x v="3"/>
    <x v="2"/>
    <x v="1"/>
    <n v="3"/>
    <n v="1522"/>
    <n v="4566"/>
    <n v="3416.21"/>
    <n v="1149.79"/>
    <x v="1"/>
  </r>
  <r>
    <s v="ORD10378"/>
    <d v="2025-10-14T00:00:00"/>
    <x v="3"/>
    <x v="2"/>
    <x v="0"/>
    <s v="Printer Ink"/>
    <x v="4"/>
    <x v="5"/>
    <x v="1"/>
    <n v="9"/>
    <n v="4868"/>
    <n v="43812"/>
    <n v="31037.119999999999"/>
    <n v="12774.88"/>
    <x v="1"/>
  </r>
  <r>
    <s v="ORD10379"/>
    <d v="2025-09-06T00:00:00"/>
    <x v="0"/>
    <x v="5"/>
    <x v="1"/>
    <s v="Tablet"/>
    <x v="5"/>
    <x v="7"/>
    <x v="1"/>
    <n v="19"/>
    <n v="4333"/>
    <n v="82327"/>
    <n v="66148.53"/>
    <n v="16178.47"/>
    <x v="1"/>
  </r>
  <r>
    <s v="ORD10380"/>
    <d v="2024-02-12T00:00:00"/>
    <x v="0"/>
    <x v="0"/>
    <x v="1"/>
    <s v="Laptop"/>
    <x v="1"/>
    <x v="7"/>
    <x v="0"/>
    <n v="12"/>
    <n v="2929"/>
    <n v="35148"/>
    <n v="29251"/>
    <n v="5897"/>
    <x v="0"/>
  </r>
  <r>
    <s v="ORD10381"/>
    <d v="2025-12-10T00:00:00"/>
    <x v="2"/>
    <x v="2"/>
    <x v="2"/>
    <s v="Desk"/>
    <x v="6"/>
    <x v="0"/>
    <x v="1"/>
    <n v="9"/>
    <n v="3414"/>
    <n v="30726"/>
    <n v="25747.24"/>
    <n v="4978.76"/>
    <x v="1"/>
  </r>
  <r>
    <s v="ORD10382"/>
    <d v="2025-03-25T00:00:00"/>
    <x v="2"/>
    <x v="4"/>
    <x v="2"/>
    <s v="Cabinet"/>
    <x v="3"/>
    <x v="6"/>
    <x v="0"/>
    <n v="3"/>
    <n v="2902"/>
    <n v="8706"/>
    <n v="6467.38"/>
    <n v="2238.62"/>
    <x v="1"/>
  </r>
  <r>
    <s v="ORD10383"/>
    <d v="2025-06-01T00:00:00"/>
    <x v="0"/>
    <x v="4"/>
    <x v="1"/>
    <s v="Tablet"/>
    <x v="5"/>
    <x v="1"/>
    <x v="1"/>
    <n v="10"/>
    <n v="2559"/>
    <n v="25590"/>
    <n v="20372.009999999998"/>
    <n v="5217.99"/>
    <x v="1"/>
  </r>
  <r>
    <s v="ORD10384"/>
    <d v="2024-02-21T00:00:00"/>
    <x v="2"/>
    <x v="4"/>
    <x v="1"/>
    <s v="Tablet"/>
    <x v="5"/>
    <x v="2"/>
    <x v="0"/>
    <n v="3"/>
    <n v="1763"/>
    <n v="5289"/>
    <n v="3462.72"/>
    <n v="1826.28"/>
    <x v="0"/>
  </r>
  <r>
    <s v="ORD10385"/>
    <d v="2025-02-06T00:00:00"/>
    <x v="2"/>
    <x v="0"/>
    <x v="0"/>
    <s v="Paper"/>
    <x v="0"/>
    <x v="3"/>
    <x v="0"/>
    <n v="6"/>
    <n v="4083"/>
    <n v="24498"/>
    <n v="17780.13"/>
    <n v="6717.87"/>
    <x v="1"/>
  </r>
  <r>
    <s v="ORD10386"/>
    <d v="2025-05-24T00:00:00"/>
    <x v="2"/>
    <x v="1"/>
    <x v="1"/>
    <s v="Laptop"/>
    <x v="1"/>
    <x v="2"/>
    <x v="0"/>
    <n v="1"/>
    <n v="3649"/>
    <n v="3649"/>
    <n v="2447.2800000000002"/>
    <n v="1201.72"/>
    <x v="1"/>
  </r>
  <r>
    <s v="ORD10387"/>
    <d v="2025-03-21T00:00:00"/>
    <x v="1"/>
    <x v="2"/>
    <x v="1"/>
    <s v="Laptop"/>
    <x v="1"/>
    <x v="0"/>
    <x v="0"/>
    <n v="19"/>
    <n v="289"/>
    <n v="5491"/>
    <n v="4589.38"/>
    <n v="901.62"/>
    <x v="1"/>
  </r>
  <r>
    <s v="ORD10388"/>
    <d v="2024-07-11T00:00:00"/>
    <x v="1"/>
    <x v="0"/>
    <x v="1"/>
    <s v="Phone"/>
    <x v="2"/>
    <x v="2"/>
    <x v="0"/>
    <n v="8"/>
    <n v="608"/>
    <n v="4864"/>
    <n v="3428.78"/>
    <n v="1435.22"/>
    <x v="0"/>
  </r>
  <r>
    <s v="ORD10389"/>
    <d v="2025-02-10T00:00:00"/>
    <x v="2"/>
    <x v="3"/>
    <x v="1"/>
    <s v="Tablet"/>
    <x v="5"/>
    <x v="0"/>
    <x v="0"/>
    <n v="2"/>
    <n v="2840"/>
    <n v="5680"/>
    <n v="4810.0200000000004"/>
    <n v="869.98"/>
    <x v="1"/>
  </r>
  <r>
    <s v="ORD10390"/>
    <d v="2025-02-27T00:00:00"/>
    <x v="2"/>
    <x v="5"/>
    <x v="1"/>
    <s v="Tablet"/>
    <x v="5"/>
    <x v="2"/>
    <x v="1"/>
    <n v="8"/>
    <n v="4842"/>
    <n v="38736"/>
    <n v="24004.02"/>
    <n v="14731.98"/>
    <x v="1"/>
  </r>
  <r>
    <s v="ORD10391"/>
    <d v="2024-07-08T00:00:00"/>
    <x v="2"/>
    <x v="1"/>
    <x v="1"/>
    <s v="Tablet"/>
    <x v="5"/>
    <x v="4"/>
    <x v="1"/>
    <n v="13"/>
    <n v="4281"/>
    <n v="55653"/>
    <n v="40438.949999999997"/>
    <n v="15214.05"/>
    <x v="0"/>
  </r>
  <r>
    <s v="ORD10392"/>
    <d v="2025-09-26T00:00:00"/>
    <x v="3"/>
    <x v="4"/>
    <x v="0"/>
    <s v="Paper"/>
    <x v="0"/>
    <x v="0"/>
    <x v="1"/>
    <n v="7"/>
    <n v="1393"/>
    <n v="9751"/>
    <n v="5500.65"/>
    <n v="4250.3500000000004"/>
    <x v="1"/>
  </r>
  <r>
    <s v="ORD10393"/>
    <d v="2025-04-25T00:00:00"/>
    <x v="2"/>
    <x v="5"/>
    <x v="2"/>
    <s v="Chair"/>
    <x v="7"/>
    <x v="0"/>
    <x v="0"/>
    <n v="12"/>
    <n v="2022"/>
    <n v="24264"/>
    <n v="15564.48"/>
    <n v="8699.52"/>
    <x v="1"/>
  </r>
  <r>
    <s v="ORD10394"/>
    <d v="2024-01-03T00:00:00"/>
    <x v="3"/>
    <x v="4"/>
    <x v="1"/>
    <s v="Laptop"/>
    <x v="1"/>
    <x v="4"/>
    <x v="1"/>
    <n v="2"/>
    <n v="2279"/>
    <n v="4558"/>
    <n v="2714.52"/>
    <n v="1843.48"/>
    <x v="0"/>
  </r>
  <r>
    <s v="ORD10395"/>
    <d v="2025-07-11T00:00:00"/>
    <x v="3"/>
    <x v="5"/>
    <x v="0"/>
    <s v="Paper"/>
    <x v="0"/>
    <x v="0"/>
    <x v="1"/>
    <n v="16"/>
    <n v="1597"/>
    <n v="25552"/>
    <n v="21699.66"/>
    <n v="3852.34"/>
    <x v="1"/>
  </r>
  <r>
    <s v="ORD10396"/>
    <d v="2025-03-06T00:00:00"/>
    <x v="0"/>
    <x v="0"/>
    <x v="2"/>
    <s v="Desk"/>
    <x v="6"/>
    <x v="3"/>
    <x v="1"/>
    <n v="20"/>
    <n v="1800"/>
    <n v="36000"/>
    <n v="23157.63"/>
    <n v="12842.37"/>
    <x v="1"/>
  </r>
  <r>
    <s v="ORD10397"/>
    <d v="2025-02-26T00:00:00"/>
    <x v="1"/>
    <x v="4"/>
    <x v="0"/>
    <s v="Pen"/>
    <x v="8"/>
    <x v="4"/>
    <x v="1"/>
    <n v="19"/>
    <n v="3327"/>
    <n v="63213"/>
    <n v="35210.06"/>
    <n v="28002.94"/>
    <x v="1"/>
  </r>
  <r>
    <s v="ORD10398"/>
    <d v="2025-10-30T00:00:00"/>
    <x v="3"/>
    <x v="0"/>
    <x v="1"/>
    <s v="Tablet"/>
    <x v="5"/>
    <x v="3"/>
    <x v="0"/>
    <n v="14"/>
    <n v="2535"/>
    <n v="35490"/>
    <n v="22630.66"/>
    <n v="12859.34"/>
    <x v="1"/>
  </r>
  <r>
    <s v="ORD10399"/>
    <d v="2025-02-26T00:00:00"/>
    <x v="3"/>
    <x v="1"/>
    <x v="2"/>
    <s v="Desk"/>
    <x v="6"/>
    <x v="5"/>
    <x v="1"/>
    <n v="15"/>
    <n v="3433"/>
    <n v="51495"/>
    <n v="37669.050000000003"/>
    <n v="13825.95"/>
    <x v="1"/>
  </r>
  <r>
    <s v="ORD10400"/>
    <d v="2024-06-07T00:00:00"/>
    <x v="3"/>
    <x v="5"/>
    <x v="2"/>
    <s v="Cabinet"/>
    <x v="3"/>
    <x v="4"/>
    <x v="1"/>
    <n v="1"/>
    <n v="4972"/>
    <n v="4972"/>
    <n v="3116.47"/>
    <n v="1855.53"/>
    <x v="0"/>
  </r>
  <r>
    <s v="ORD10401"/>
    <d v="2025-02-17T00:00:00"/>
    <x v="2"/>
    <x v="4"/>
    <x v="2"/>
    <s v="Chair"/>
    <x v="7"/>
    <x v="4"/>
    <x v="1"/>
    <n v="2"/>
    <n v="3745"/>
    <n v="7490"/>
    <n v="6145.55"/>
    <n v="1344.45"/>
    <x v="1"/>
  </r>
  <r>
    <s v="ORD10402"/>
    <d v="2025-05-05T00:00:00"/>
    <x v="0"/>
    <x v="1"/>
    <x v="1"/>
    <s v="Laptop"/>
    <x v="1"/>
    <x v="5"/>
    <x v="1"/>
    <n v="7"/>
    <n v="2234"/>
    <n v="15638"/>
    <n v="11631.41"/>
    <n v="4006.59"/>
    <x v="1"/>
  </r>
  <r>
    <s v="ORD10403"/>
    <d v="2025-03-10T00:00:00"/>
    <x v="2"/>
    <x v="4"/>
    <x v="1"/>
    <s v="Tablet"/>
    <x v="5"/>
    <x v="2"/>
    <x v="1"/>
    <n v="19"/>
    <n v="1842"/>
    <n v="34998"/>
    <n v="29696.799999999999"/>
    <n v="5301.2"/>
    <x v="1"/>
  </r>
  <r>
    <s v="ORD10404"/>
    <d v="2024-01-30T00:00:00"/>
    <x v="1"/>
    <x v="4"/>
    <x v="0"/>
    <s v="Pen"/>
    <x v="8"/>
    <x v="5"/>
    <x v="0"/>
    <n v="11"/>
    <n v="4906"/>
    <n v="53966"/>
    <n v="40464.879999999997"/>
    <n v="13501.12"/>
    <x v="0"/>
  </r>
  <r>
    <s v="ORD10405"/>
    <d v="2024-02-23T00:00:00"/>
    <x v="2"/>
    <x v="2"/>
    <x v="1"/>
    <s v="Tablet"/>
    <x v="5"/>
    <x v="5"/>
    <x v="1"/>
    <n v="11"/>
    <n v="3815"/>
    <n v="41965"/>
    <n v="32264.77"/>
    <n v="9700.23"/>
    <x v="0"/>
  </r>
  <r>
    <s v="ORD10406"/>
    <d v="2024-11-04T00:00:00"/>
    <x v="1"/>
    <x v="3"/>
    <x v="1"/>
    <s v="Phone"/>
    <x v="2"/>
    <x v="5"/>
    <x v="0"/>
    <n v="2"/>
    <n v="3002"/>
    <n v="6004"/>
    <n v="3612.53"/>
    <n v="2391.4699999999998"/>
    <x v="0"/>
  </r>
  <r>
    <s v="ORD10407"/>
    <d v="2025-09-13T00:00:00"/>
    <x v="1"/>
    <x v="0"/>
    <x v="2"/>
    <s v="Chair"/>
    <x v="7"/>
    <x v="0"/>
    <x v="1"/>
    <n v="18"/>
    <n v="703"/>
    <n v="12654"/>
    <n v="10688.3"/>
    <n v="1965.7"/>
    <x v="1"/>
  </r>
  <r>
    <s v="ORD10408"/>
    <d v="2024-11-09T00:00:00"/>
    <x v="0"/>
    <x v="5"/>
    <x v="0"/>
    <s v="Printer Ink"/>
    <x v="4"/>
    <x v="6"/>
    <x v="0"/>
    <n v="20"/>
    <n v="3356"/>
    <n v="67120"/>
    <n v="42559.16"/>
    <n v="24560.84"/>
    <x v="0"/>
  </r>
  <r>
    <s v="ORD10409"/>
    <d v="2025-08-30T00:00:00"/>
    <x v="3"/>
    <x v="4"/>
    <x v="1"/>
    <s v="Tablet"/>
    <x v="5"/>
    <x v="4"/>
    <x v="1"/>
    <n v="16"/>
    <n v="612"/>
    <n v="9792"/>
    <n v="6687.21"/>
    <n v="3104.79"/>
    <x v="1"/>
  </r>
  <r>
    <s v="ORD10410"/>
    <d v="2025-09-21T00:00:00"/>
    <x v="3"/>
    <x v="1"/>
    <x v="2"/>
    <s v="Chair"/>
    <x v="7"/>
    <x v="1"/>
    <x v="1"/>
    <n v="17"/>
    <n v="2189"/>
    <n v="37213"/>
    <n v="26853.87"/>
    <n v="10359.129999999999"/>
    <x v="1"/>
  </r>
  <r>
    <s v="ORD10411"/>
    <d v="2025-05-25T00:00:00"/>
    <x v="2"/>
    <x v="5"/>
    <x v="0"/>
    <s v="Paper"/>
    <x v="0"/>
    <x v="7"/>
    <x v="1"/>
    <n v="20"/>
    <n v="3543"/>
    <n v="70860"/>
    <n v="53878.82"/>
    <n v="16981.18"/>
    <x v="1"/>
  </r>
  <r>
    <s v="ORD10412"/>
    <d v="2025-07-07T00:00:00"/>
    <x v="3"/>
    <x v="4"/>
    <x v="0"/>
    <s v="Paper"/>
    <x v="0"/>
    <x v="6"/>
    <x v="0"/>
    <n v="6"/>
    <n v="1119"/>
    <n v="6714"/>
    <n v="5687.64"/>
    <n v="1026.3599999999999"/>
    <x v="1"/>
  </r>
  <r>
    <s v="ORD10413"/>
    <d v="2024-01-03T00:00:00"/>
    <x v="3"/>
    <x v="4"/>
    <x v="0"/>
    <s v="Paper"/>
    <x v="0"/>
    <x v="2"/>
    <x v="1"/>
    <n v="14"/>
    <n v="3135"/>
    <n v="43890"/>
    <n v="35010.71"/>
    <n v="8879.2900000000009"/>
    <x v="0"/>
  </r>
  <r>
    <s v="ORD10414"/>
    <d v="2024-02-20T00:00:00"/>
    <x v="1"/>
    <x v="2"/>
    <x v="0"/>
    <s v="Paper"/>
    <x v="0"/>
    <x v="4"/>
    <x v="1"/>
    <n v="20"/>
    <n v="1790"/>
    <n v="35800"/>
    <n v="22091.73"/>
    <n v="13708.27"/>
    <x v="0"/>
  </r>
  <r>
    <s v="ORD10415"/>
    <d v="2025-03-14T00:00:00"/>
    <x v="3"/>
    <x v="1"/>
    <x v="2"/>
    <s v="Chair"/>
    <x v="7"/>
    <x v="7"/>
    <x v="1"/>
    <n v="7"/>
    <n v="3956"/>
    <n v="27692"/>
    <n v="19032.95"/>
    <n v="8659.0499999999993"/>
    <x v="1"/>
  </r>
  <r>
    <s v="ORD10416"/>
    <d v="2025-09-29T00:00:00"/>
    <x v="2"/>
    <x v="2"/>
    <x v="2"/>
    <s v="Cabinet"/>
    <x v="3"/>
    <x v="1"/>
    <x v="1"/>
    <n v="3"/>
    <n v="958"/>
    <n v="2874"/>
    <n v="1651.26"/>
    <n v="1222.74"/>
    <x v="1"/>
  </r>
  <r>
    <s v="ORD10417"/>
    <d v="2024-07-02T00:00:00"/>
    <x v="1"/>
    <x v="5"/>
    <x v="1"/>
    <s v="Phone"/>
    <x v="2"/>
    <x v="3"/>
    <x v="0"/>
    <n v="7"/>
    <n v="2166"/>
    <n v="15162"/>
    <n v="8783.69"/>
    <n v="6378.31"/>
    <x v="0"/>
  </r>
  <r>
    <s v="ORD10418"/>
    <d v="2024-12-13T00:00:00"/>
    <x v="2"/>
    <x v="4"/>
    <x v="0"/>
    <s v="Printer Ink"/>
    <x v="4"/>
    <x v="2"/>
    <x v="1"/>
    <n v="8"/>
    <n v="2992"/>
    <n v="23936"/>
    <n v="13285.23"/>
    <n v="10650.77"/>
    <x v="0"/>
  </r>
  <r>
    <s v="ORD10419"/>
    <d v="2025-08-19T00:00:00"/>
    <x v="1"/>
    <x v="3"/>
    <x v="0"/>
    <s v="Printer Ink"/>
    <x v="4"/>
    <x v="6"/>
    <x v="0"/>
    <n v="19"/>
    <n v="2903"/>
    <n v="55157"/>
    <n v="33583.519999999997"/>
    <n v="21573.48"/>
    <x v="1"/>
  </r>
  <r>
    <s v="ORD10420"/>
    <d v="2024-02-15T00:00:00"/>
    <x v="1"/>
    <x v="1"/>
    <x v="1"/>
    <s v="Tablet"/>
    <x v="5"/>
    <x v="7"/>
    <x v="1"/>
    <n v="17"/>
    <n v="1306"/>
    <n v="22202"/>
    <n v="15517.93"/>
    <n v="6684.07"/>
    <x v="0"/>
  </r>
  <r>
    <s v="ORD10421"/>
    <d v="2025-08-01T00:00:00"/>
    <x v="0"/>
    <x v="0"/>
    <x v="0"/>
    <s v="Pen"/>
    <x v="8"/>
    <x v="4"/>
    <x v="0"/>
    <n v="7"/>
    <n v="1880"/>
    <n v="13160"/>
    <n v="9726.99"/>
    <n v="3433.01"/>
    <x v="1"/>
  </r>
  <r>
    <s v="ORD10422"/>
    <d v="2025-04-25T00:00:00"/>
    <x v="3"/>
    <x v="0"/>
    <x v="2"/>
    <s v="Cabinet"/>
    <x v="3"/>
    <x v="5"/>
    <x v="1"/>
    <n v="7"/>
    <n v="2887"/>
    <n v="20209"/>
    <n v="15558.99"/>
    <n v="4650.01"/>
    <x v="1"/>
  </r>
  <r>
    <s v="ORD10423"/>
    <d v="2024-07-03T00:00:00"/>
    <x v="0"/>
    <x v="3"/>
    <x v="0"/>
    <s v="Pen"/>
    <x v="8"/>
    <x v="5"/>
    <x v="1"/>
    <n v="9"/>
    <n v="2564"/>
    <n v="23076"/>
    <n v="15240.29"/>
    <n v="7835.71"/>
    <x v="0"/>
  </r>
  <r>
    <s v="ORD10424"/>
    <d v="2024-11-24T00:00:00"/>
    <x v="3"/>
    <x v="5"/>
    <x v="0"/>
    <s v="Paper"/>
    <x v="0"/>
    <x v="4"/>
    <x v="1"/>
    <n v="10"/>
    <n v="474"/>
    <n v="4740"/>
    <n v="3676.85"/>
    <n v="1063.1500000000001"/>
    <x v="0"/>
  </r>
  <r>
    <s v="ORD10425"/>
    <d v="2025-05-13T00:00:00"/>
    <x v="0"/>
    <x v="0"/>
    <x v="1"/>
    <s v="Phone"/>
    <x v="2"/>
    <x v="6"/>
    <x v="1"/>
    <n v="7"/>
    <n v="4054"/>
    <n v="28378"/>
    <n v="16360.28"/>
    <n v="12017.72"/>
    <x v="1"/>
  </r>
  <r>
    <s v="ORD10426"/>
    <d v="2024-12-03T00:00:00"/>
    <x v="3"/>
    <x v="5"/>
    <x v="2"/>
    <s v="Cabinet"/>
    <x v="3"/>
    <x v="5"/>
    <x v="0"/>
    <n v="17"/>
    <n v="4593"/>
    <n v="78081"/>
    <n v="43039.64"/>
    <n v="35041.360000000001"/>
    <x v="0"/>
  </r>
  <r>
    <s v="ORD10427"/>
    <d v="2025-02-17T00:00:00"/>
    <x v="3"/>
    <x v="4"/>
    <x v="1"/>
    <s v="Phone"/>
    <x v="2"/>
    <x v="3"/>
    <x v="1"/>
    <n v="17"/>
    <n v="2071"/>
    <n v="35207"/>
    <n v="26246.23"/>
    <n v="8960.77"/>
    <x v="1"/>
  </r>
  <r>
    <s v="ORD10428"/>
    <d v="2025-04-03T00:00:00"/>
    <x v="3"/>
    <x v="0"/>
    <x v="1"/>
    <s v="Laptop"/>
    <x v="1"/>
    <x v="5"/>
    <x v="1"/>
    <n v="20"/>
    <n v="1761"/>
    <n v="35220"/>
    <n v="20325.54"/>
    <n v="14894.46"/>
    <x v="1"/>
  </r>
  <r>
    <s v="ORD10429"/>
    <d v="2025-04-16T00:00:00"/>
    <x v="2"/>
    <x v="0"/>
    <x v="2"/>
    <s v="Chair"/>
    <x v="7"/>
    <x v="6"/>
    <x v="1"/>
    <n v="12"/>
    <n v="462"/>
    <n v="5544"/>
    <n v="4059.57"/>
    <n v="1484.43"/>
    <x v="1"/>
  </r>
  <r>
    <s v="ORD10430"/>
    <d v="2024-08-30T00:00:00"/>
    <x v="2"/>
    <x v="5"/>
    <x v="1"/>
    <s v="Laptop"/>
    <x v="1"/>
    <x v="3"/>
    <x v="0"/>
    <n v="13"/>
    <n v="3119"/>
    <n v="40547"/>
    <n v="28482.26"/>
    <n v="12064.74"/>
    <x v="0"/>
  </r>
  <r>
    <s v="ORD10431"/>
    <d v="2025-06-06T00:00:00"/>
    <x v="3"/>
    <x v="0"/>
    <x v="0"/>
    <s v="Pen"/>
    <x v="8"/>
    <x v="6"/>
    <x v="1"/>
    <n v="2"/>
    <n v="4802"/>
    <n v="9604"/>
    <n v="6396.79"/>
    <n v="3207.21"/>
    <x v="1"/>
  </r>
  <r>
    <s v="ORD10432"/>
    <d v="2025-01-13T00:00:00"/>
    <x v="1"/>
    <x v="0"/>
    <x v="1"/>
    <s v="Laptop"/>
    <x v="1"/>
    <x v="0"/>
    <x v="0"/>
    <n v="11"/>
    <n v="3823"/>
    <n v="42053"/>
    <n v="26535.48"/>
    <n v="15517.52"/>
    <x v="1"/>
  </r>
  <r>
    <s v="ORD10433"/>
    <d v="2025-02-05T00:00:00"/>
    <x v="0"/>
    <x v="1"/>
    <x v="0"/>
    <s v="Pen"/>
    <x v="8"/>
    <x v="2"/>
    <x v="1"/>
    <n v="16"/>
    <n v="1683"/>
    <n v="26928"/>
    <n v="21566.43"/>
    <n v="5361.57"/>
    <x v="1"/>
  </r>
  <r>
    <s v="ORD10434"/>
    <d v="2025-11-10T00:00:00"/>
    <x v="0"/>
    <x v="0"/>
    <x v="2"/>
    <s v="Cabinet"/>
    <x v="3"/>
    <x v="0"/>
    <x v="1"/>
    <n v="15"/>
    <n v="2828"/>
    <n v="42420"/>
    <n v="31975.1"/>
    <n v="10444.9"/>
    <x v="1"/>
  </r>
  <r>
    <s v="ORD10435"/>
    <d v="2025-07-09T00:00:00"/>
    <x v="3"/>
    <x v="0"/>
    <x v="0"/>
    <s v="Pen"/>
    <x v="8"/>
    <x v="0"/>
    <x v="1"/>
    <n v="1"/>
    <n v="1511"/>
    <n v="1511"/>
    <n v="867.92"/>
    <n v="643.08000000000004"/>
    <x v="1"/>
  </r>
  <r>
    <s v="ORD10436"/>
    <d v="2025-05-08T00:00:00"/>
    <x v="2"/>
    <x v="4"/>
    <x v="0"/>
    <s v="Printer Ink"/>
    <x v="4"/>
    <x v="6"/>
    <x v="0"/>
    <n v="3"/>
    <n v="4796"/>
    <n v="14388"/>
    <n v="11986.5"/>
    <n v="2401.5"/>
    <x v="1"/>
  </r>
  <r>
    <s v="ORD10437"/>
    <d v="2025-12-02T00:00:00"/>
    <x v="0"/>
    <x v="3"/>
    <x v="1"/>
    <s v="Phone"/>
    <x v="2"/>
    <x v="2"/>
    <x v="1"/>
    <n v="7"/>
    <n v="2493"/>
    <n v="17451"/>
    <n v="10338.31"/>
    <n v="7112.69"/>
    <x v="1"/>
  </r>
  <r>
    <s v="ORD10438"/>
    <d v="2025-03-04T00:00:00"/>
    <x v="0"/>
    <x v="0"/>
    <x v="0"/>
    <s v="Paper"/>
    <x v="0"/>
    <x v="4"/>
    <x v="1"/>
    <n v="13"/>
    <n v="4359"/>
    <n v="56667"/>
    <n v="36193.620000000003"/>
    <n v="20473.38"/>
    <x v="1"/>
  </r>
  <r>
    <s v="ORD10439"/>
    <d v="2025-10-19T00:00:00"/>
    <x v="2"/>
    <x v="5"/>
    <x v="1"/>
    <s v="Phone"/>
    <x v="2"/>
    <x v="4"/>
    <x v="1"/>
    <n v="11"/>
    <n v="4269"/>
    <n v="46959"/>
    <n v="37351.68"/>
    <n v="9607.32"/>
    <x v="1"/>
  </r>
  <r>
    <s v="ORD10440"/>
    <d v="2024-05-25T00:00:00"/>
    <x v="3"/>
    <x v="3"/>
    <x v="1"/>
    <s v="Phone"/>
    <x v="2"/>
    <x v="0"/>
    <x v="0"/>
    <n v="4"/>
    <n v="1140"/>
    <n v="4560"/>
    <n v="3063.02"/>
    <n v="1496.98"/>
    <x v="0"/>
  </r>
  <r>
    <s v="ORD10441"/>
    <d v="2025-01-22T00:00:00"/>
    <x v="2"/>
    <x v="4"/>
    <x v="1"/>
    <s v="Laptop"/>
    <x v="1"/>
    <x v="3"/>
    <x v="1"/>
    <n v="12"/>
    <n v="4608"/>
    <n v="55296"/>
    <n v="38610.14"/>
    <n v="16685.86"/>
    <x v="1"/>
  </r>
  <r>
    <s v="ORD10442"/>
    <d v="2025-07-07T00:00:00"/>
    <x v="2"/>
    <x v="4"/>
    <x v="2"/>
    <s v="Cabinet"/>
    <x v="3"/>
    <x v="3"/>
    <x v="1"/>
    <n v="17"/>
    <n v="4116"/>
    <n v="69972"/>
    <n v="56951.55"/>
    <n v="13020.45"/>
    <x v="1"/>
  </r>
  <r>
    <s v="ORD10443"/>
    <d v="2024-09-10T00:00:00"/>
    <x v="2"/>
    <x v="5"/>
    <x v="1"/>
    <s v="Tablet"/>
    <x v="5"/>
    <x v="2"/>
    <x v="1"/>
    <n v="10"/>
    <n v="3139"/>
    <n v="31390"/>
    <n v="17946.97"/>
    <n v="13443.03"/>
    <x v="0"/>
  </r>
  <r>
    <s v="ORD10444"/>
    <d v="2024-02-07T00:00:00"/>
    <x v="2"/>
    <x v="0"/>
    <x v="1"/>
    <s v="Tablet"/>
    <x v="5"/>
    <x v="4"/>
    <x v="1"/>
    <n v="18"/>
    <n v="4049"/>
    <n v="72882"/>
    <n v="61368.11"/>
    <n v="11513.89"/>
    <x v="0"/>
  </r>
  <r>
    <s v="ORD10445"/>
    <d v="2024-03-11T00:00:00"/>
    <x v="0"/>
    <x v="4"/>
    <x v="2"/>
    <s v="Cabinet"/>
    <x v="3"/>
    <x v="6"/>
    <x v="0"/>
    <n v="14"/>
    <n v="460"/>
    <n v="6440"/>
    <n v="4740.46"/>
    <n v="1699.54"/>
    <x v="0"/>
  </r>
  <r>
    <s v="ORD10446"/>
    <d v="2024-02-07T00:00:00"/>
    <x v="1"/>
    <x v="2"/>
    <x v="0"/>
    <s v="Pen"/>
    <x v="8"/>
    <x v="0"/>
    <x v="1"/>
    <n v="2"/>
    <n v="1959"/>
    <n v="3918"/>
    <n v="2639.42"/>
    <n v="1278.58"/>
    <x v="0"/>
  </r>
  <r>
    <s v="ORD10447"/>
    <d v="2025-08-10T00:00:00"/>
    <x v="2"/>
    <x v="4"/>
    <x v="0"/>
    <s v="Pen"/>
    <x v="8"/>
    <x v="5"/>
    <x v="0"/>
    <n v="16"/>
    <n v="291"/>
    <n v="4656"/>
    <n v="3947.7"/>
    <n v="708.3"/>
    <x v="1"/>
  </r>
  <r>
    <s v="ORD10448"/>
    <d v="2025-05-09T00:00:00"/>
    <x v="0"/>
    <x v="0"/>
    <x v="2"/>
    <s v="Desk"/>
    <x v="6"/>
    <x v="6"/>
    <x v="1"/>
    <n v="18"/>
    <n v="4705"/>
    <n v="84690"/>
    <n v="60917.64"/>
    <n v="23772.36"/>
    <x v="1"/>
  </r>
  <r>
    <s v="ORD10449"/>
    <d v="2024-04-26T00:00:00"/>
    <x v="2"/>
    <x v="0"/>
    <x v="2"/>
    <s v="Cabinet"/>
    <x v="3"/>
    <x v="7"/>
    <x v="0"/>
    <n v="20"/>
    <n v="3501"/>
    <n v="70020"/>
    <n v="51231.55"/>
    <n v="18788.45"/>
    <x v="0"/>
  </r>
  <r>
    <s v="ORD10450"/>
    <d v="2024-08-21T00:00:00"/>
    <x v="2"/>
    <x v="4"/>
    <x v="0"/>
    <s v="Printer Ink"/>
    <x v="4"/>
    <x v="0"/>
    <x v="0"/>
    <n v="10"/>
    <n v="2907"/>
    <n v="29070"/>
    <n v="19741.91"/>
    <n v="9328.09"/>
    <x v="0"/>
  </r>
  <r>
    <s v="ORD10451"/>
    <d v="2024-09-02T00:00:00"/>
    <x v="1"/>
    <x v="2"/>
    <x v="0"/>
    <s v="Pen"/>
    <x v="8"/>
    <x v="5"/>
    <x v="1"/>
    <n v="9"/>
    <n v="4007"/>
    <n v="36063"/>
    <n v="28756.43"/>
    <n v="7306.57"/>
    <x v="0"/>
  </r>
  <r>
    <s v="ORD10452"/>
    <d v="2025-07-19T00:00:00"/>
    <x v="2"/>
    <x v="2"/>
    <x v="2"/>
    <s v="Desk"/>
    <x v="6"/>
    <x v="5"/>
    <x v="1"/>
    <n v="6"/>
    <n v="2090"/>
    <n v="12540"/>
    <n v="7412.37"/>
    <n v="5127.63"/>
    <x v="1"/>
  </r>
  <r>
    <s v="ORD10453"/>
    <d v="2024-11-29T00:00:00"/>
    <x v="1"/>
    <x v="3"/>
    <x v="0"/>
    <s v="Paper"/>
    <x v="0"/>
    <x v="4"/>
    <x v="1"/>
    <n v="18"/>
    <n v="3526"/>
    <n v="63468"/>
    <n v="36103.120000000003"/>
    <n v="27364.880000000001"/>
    <x v="0"/>
  </r>
  <r>
    <s v="ORD10454"/>
    <d v="2025-03-14T00:00:00"/>
    <x v="0"/>
    <x v="3"/>
    <x v="1"/>
    <s v="Phone"/>
    <x v="2"/>
    <x v="2"/>
    <x v="0"/>
    <n v="13"/>
    <n v="3074"/>
    <n v="39962"/>
    <n v="31602.45"/>
    <n v="8359.5499999999993"/>
    <x v="1"/>
  </r>
  <r>
    <s v="ORD10455"/>
    <d v="2024-07-10T00:00:00"/>
    <x v="0"/>
    <x v="0"/>
    <x v="2"/>
    <s v="Chair"/>
    <x v="7"/>
    <x v="2"/>
    <x v="1"/>
    <n v="12"/>
    <n v="762"/>
    <n v="9144"/>
    <n v="7626.1"/>
    <n v="1517.9"/>
    <x v="0"/>
  </r>
  <r>
    <s v="ORD10456"/>
    <d v="2024-06-01T00:00:00"/>
    <x v="2"/>
    <x v="3"/>
    <x v="0"/>
    <s v="Paper"/>
    <x v="0"/>
    <x v="0"/>
    <x v="1"/>
    <n v="1"/>
    <n v="102"/>
    <n v="102"/>
    <n v="68.319999999999993"/>
    <n v="33.68"/>
    <x v="0"/>
  </r>
  <r>
    <s v="ORD10457"/>
    <d v="2025-06-07T00:00:00"/>
    <x v="0"/>
    <x v="4"/>
    <x v="1"/>
    <s v="Tablet"/>
    <x v="5"/>
    <x v="5"/>
    <x v="1"/>
    <n v="15"/>
    <n v="937"/>
    <n v="14055"/>
    <n v="10196.82"/>
    <n v="3858.18"/>
    <x v="1"/>
  </r>
  <r>
    <s v="ORD10458"/>
    <d v="2025-09-12T00:00:00"/>
    <x v="3"/>
    <x v="2"/>
    <x v="1"/>
    <s v="Tablet"/>
    <x v="5"/>
    <x v="6"/>
    <x v="0"/>
    <n v="4"/>
    <n v="3971"/>
    <n v="15884"/>
    <n v="11274.97"/>
    <n v="4609.03"/>
    <x v="1"/>
  </r>
  <r>
    <s v="ORD10459"/>
    <d v="2025-09-12T00:00:00"/>
    <x v="2"/>
    <x v="4"/>
    <x v="1"/>
    <s v="Laptop"/>
    <x v="1"/>
    <x v="2"/>
    <x v="0"/>
    <n v="1"/>
    <n v="3197"/>
    <n v="3197"/>
    <n v="1995.99"/>
    <n v="1201.01"/>
    <x v="1"/>
  </r>
  <r>
    <s v="ORD10460"/>
    <d v="2024-03-27T00:00:00"/>
    <x v="3"/>
    <x v="3"/>
    <x v="0"/>
    <s v="Paper"/>
    <x v="0"/>
    <x v="4"/>
    <x v="1"/>
    <n v="12"/>
    <n v="908"/>
    <n v="10896"/>
    <n v="8636.02"/>
    <n v="2259.98"/>
    <x v="0"/>
  </r>
  <r>
    <s v="ORD10461"/>
    <d v="2025-07-17T00:00:00"/>
    <x v="1"/>
    <x v="3"/>
    <x v="0"/>
    <s v="Paper"/>
    <x v="0"/>
    <x v="0"/>
    <x v="0"/>
    <n v="1"/>
    <n v="3892"/>
    <n v="3892"/>
    <n v="2433.36"/>
    <n v="1458.64"/>
    <x v="1"/>
  </r>
  <r>
    <s v="ORD10462"/>
    <d v="2025-02-05T00:00:00"/>
    <x v="2"/>
    <x v="5"/>
    <x v="1"/>
    <s v="Laptop"/>
    <x v="1"/>
    <x v="1"/>
    <x v="1"/>
    <n v="16"/>
    <n v="1794"/>
    <n v="28704"/>
    <n v="17323.61"/>
    <n v="11380.39"/>
    <x v="1"/>
  </r>
  <r>
    <s v="ORD10463"/>
    <d v="2024-08-28T00:00:00"/>
    <x v="3"/>
    <x v="3"/>
    <x v="1"/>
    <s v="Tablet"/>
    <x v="5"/>
    <x v="2"/>
    <x v="1"/>
    <n v="8"/>
    <n v="2198"/>
    <n v="17584"/>
    <n v="10524.24"/>
    <n v="7059.76"/>
    <x v="0"/>
  </r>
  <r>
    <s v="ORD10464"/>
    <d v="2025-05-25T00:00:00"/>
    <x v="3"/>
    <x v="5"/>
    <x v="2"/>
    <s v="Cabinet"/>
    <x v="3"/>
    <x v="6"/>
    <x v="1"/>
    <n v="11"/>
    <n v="2228"/>
    <n v="24508"/>
    <n v="14581.92"/>
    <n v="9926.08"/>
    <x v="1"/>
  </r>
  <r>
    <s v="ORD10465"/>
    <d v="2024-10-11T00:00:00"/>
    <x v="3"/>
    <x v="0"/>
    <x v="1"/>
    <s v="Phone"/>
    <x v="2"/>
    <x v="6"/>
    <x v="1"/>
    <n v="17"/>
    <n v="4483"/>
    <n v="76211"/>
    <n v="55702.239999999998"/>
    <n v="20508.759999999998"/>
    <x v="0"/>
  </r>
  <r>
    <s v="ORD10466"/>
    <d v="2024-09-01T00:00:00"/>
    <x v="3"/>
    <x v="4"/>
    <x v="0"/>
    <s v="Pen"/>
    <x v="8"/>
    <x v="1"/>
    <x v="1"/>
    <n v="19"/>
    <n v="2704"/>
    <n v="51376"/>
    <n v="41646.639999999999"/>
    <n v="9729.36"/>
    <x v="0"/>
  </r>
  <r>
    <s v="ORD10467"/>
    <d v="2025-03-08T00:00:00"/>
    <x v="2"/>
    <x v="0"/>
    <x v="0"/>
    <s v="Paper"/>
    <x v="0"/>
    <x v="5"/>
    <x v="0"/>
    <n v="12"/>
    <n v="837"/>
    <n v="10044"/>
    <n v="5590.11"/>
    <n v="4453.8900000000003"/>
    <x v="1"/>
  </r>
  <r>
    <s v="ORD10468"/>
    <d v="2024-04-16T00:00:00"/>
    <x v="1"/>
    <x v="2"/>
    <x v="1"/>
    <s v="Tablet"/>
    <x v="5"/>
    <x v="5"/>
    <x v="0"/>
    <n v="10"/>
    <n v="3690"/>
    <n v="36900"/>
    <n v="22593.15"/>
    <n v="14306.85"/>
    <x v="0"/>
  </r>
  <r>
    <s v="ORD10469"/>
    <d v="2024-01-05T00:00:00"/>
    <x v="2"/>
    <x v="3"/>
    <x v="0"/>
    <s v="Pen"/>
    <x v="8"/>
    <x v="5"/>
    <x v="0"/>
    <n v="4"/>
    <n v="2579"/>
    <n v="10316"/>
    <n v="6531.58"/>
    <n v="3784.42"/>
    <x v="0"/>
  </r>
  <r>
    <s v="ORD10470"/>
    <d v="2025-11-01T00:00:00"/>
    <x v="2"/>
    <x v="2"/>
    <x v="2"/>
    <s v="Cabinet"/>
    <x v="3"/>
    <x v="7"/>
    <x v="1"/>
    <n v="12"/>
    <n v="3053"/>
    <n v="36636"/>
    <n v="27663.3"/>
    <n v="8972.7000000000007"/>
    <x v="1"/>
  </r>
  <r>
    <s v="ORD10471"/>
    <d v="2025-01-25T00:00:00"/>
    <x v="0"/>
    <x v="1"/>
    <x v="0"/>
    <s v="Paper"/>
    <x v="0"/>
    <x v="0"/>
    <x v="1"/>
    <n v="8"/>
    <n v="3535"/>
    <n v="28280"/>
    <n v="17565.759999999998"/>
    <n v="10714.24"/>
    <x v="1"/>
  </r>
  <r>
    <s v="ORD10472"/>
    <d v="2024-05-31T00:00:00"/>
    <x v="1"/>
    <x v="3"/>
    <x v="1"/>
    <s v="Tablet"/>
    <x v="5"/>
    <x v="6"/>
    <x v="0"/>
    <n v="4"/>
    <n v="4872"/>
    <n v="19488"/>
    <n v="11193.61"/>
    <n v="8294.39"/>
    <x v="0"/>
  </r>
  <r>
    <s v="ORD10473"/>
    <d v="2024-01-18T00:00:00"/>
    <x v="1"/>
    <x v="4"/>
    <x v="0"/>
    <s v="Paper"/>
    <x v="0"/>
    <x v="5"/>
    <x v="1"/>
    <n v="12"/>
    <n v="3336"/>
    <n v="40032"/>
    <n v="26159.01"/>
    <n v="13872.99"/>
    <x v="0"/>
  </r>
  <r>
    <s v="ORD10474"/>
    <d v="2025-02-23T00:00:00"/>
    <x v="0"/>
    <x v="2"/>
    <x v="1"/>
    <s v="Laptop"/>
    <x v="1"/>
    <x v="2"/>
    <x v="0"/>
    <n v="15"/>
    <n v="2667"/>
    <n v="40005"/>
    <n v="29295.61"/>
    <n v="10709.39"/>
    <x v="1"/>
  </r>
  <r>
    <s v="ORD10475"/>
    <d v="2024-11-17T00:00:00"/>
    <x v="0"/>
    <x v="4"/>
    <x v="0"/>
    <s v="Pen"/>
    <x v="8"/>
    <x v="2"/>
    <x v="1"/>
    <n v="6"/>
    <n v="3029"/>
    <n v="18174"/>
    <n v="10476.92"/>
    <n v="7697.08"/>
    <x v="0"/>
  </r>
  <r>
    <s v="ORD10476"/>
    <d v="2024-10-02T00:00:00"/>
    <x v="2"/>
    <x v="0"/>
    <x v="2"/>
    <s v="Chair"/>
    <x v="7"/>
    <x v="5"/>
    <x v="0"/>
    <n v="16"/>
    <n v="809"/>
    <n v="12944"/>
    <n v="10961.83"/>
    <n v="1982.17"/>
    <x v="0"/>
  </r>
  <r>
    <s v="ORD10477"/>
    <d v="2025-09-26T00:00:00"/>
    <x v="3"/>
    <x v="2"/>
    <x v="1"/>
    <s v="Laptop"/>
    <x v="1"/>
    <x v="0"/>
    <x v="1"/>
    <n v="9"/>
    <n v="3564"/>
    <n v="32076"/>
    <n v="27047.42"/>
    <n v="5028.58"/>
    <x v="1"/>
  </r>
  <r>
    <s v="ORD10478"/>
    <d v="2025-12-14T00:00:00"/>
    <x v="3"/>
    <x v="3"/>
    <x v="1"/>
    <s v="Phone"/>
    <x v="2"/>
    <x v="4"/>
    <x v="1"/>
    <n v="3"/>
    <n v="4426"/>
    <n v="13278"/>
    <n v="8719.18"/>
    <n v="4558.82"/>
    <x v="1"/>
  </r>
  <r>
    <s v="ORD10479"/>
    <d v="2025-11-20T00:00:00"/>
    <x v="2"/>
    <x v="0"/>
    <x v="2"/>
    <s v="Cabinet"/>
    <x v="3"/>
    <x v="3"/>
    <x v="0"/>
    <n v="6"/>
    <n v="4274"/>
    <n v="25644"/>
    <n v="21539.7"/>
    <n v="4104.3"/>
    <x v="1"/>
  </r>
  <r>
    <s v="ORD10480"/>
    <d v="2025-02-11T00:00:00"/>
    <x v="0"/>
    <x v="1"/>
    <x v="1"/>
    <s v="Tablet"/>
    <x v="5"/>
    <x v="5"/>
    <x v="1"/>
    <n v="16"/>
    <n v="4838"/>
    <n v="77408"/>
    <n v="48582.37"/>
    <n v="28825.63"/>
    <x v="1"/>
  </r>
  <r>
    <s v="ORD10481"/>
    <d v="2025-08-12T00:00:00"/>
    <x v="0"/>
    <x v="2"/>
    <x v="1"/>
    <s v="Tablet"/>
    <x v="5"/>
    <x v="7"/>
    <x v="1"/>
    <n v="6"/>
    <n v="1646"/>
    <n v="9876"/>
    <n v="7142.05"/>
    <n v="2733.95"/>
    <x v="1"/>
  </r>
  <r>
    <s v="ORD10482"/>
    <d v="2024-11-11T00:00:00"/>
    <x v="1"/>
    <x v="4"/>
    <x v="0"/>
    <s v="Printer Ink"/>
    <x v="4"/>
    <x v="2"/>
    <x v="1"/>
    <n v="1"/>
    <n v="1919"/>
    <n v="1919"/>
    <n v="1256.1300000000001"/>
    <n v="662.87"/>
    <x v="0"/>
  </r>
  <r>
    <s v="ORD10483"/>
    <d v="2024-06-28T00:00:00"/>
    <x v="2"/>
    <x v="4"/>
    <x v="1"/>
    <s v="Tablet"/>
    <x v="5"/>
    <x v="6"/>
    <x v="0"/>
    <n v="13"/>
    <n v="4498"/>
    <n v="58474"/>
    <n v="39903.74"/>
    <n v="18570.259999999998"/>
    <x v="0"/>
  </r>
  <r>
    <s v="ORD10484"/>
    <d v="2024-10-24T00:00:00"/>
    <x v="1"/>
    <x v="3"/>
    <x v="0"/>
    <s v="Printer Ink"/>
    <x v="4"/>
    <x v="6"/>
    <x v="1"/>
    <n v="14"/>
    <n v="2180"/>
    <n v="30520"/>
    <n v="19588.419999999998"/>
    <n v="10931.58"/>
    <x v="0"/>
  </r>
  <r>
    <s v="ORD10485"/>
    <d v="2025-11-18T00:00:00"/>
    <x v="0"/>
    <x v="1"/>
    <x v="0"/>
    <s v="Pen"/>
    <x v="8"/>
    <x v="0"/>
    <x v="0"/>
    <n v="4"/>
    <n v="4006"/>
    <n v="16024"/>
    <n v="11337.03"/>
    <n v="4686.97"/>
    <x v="1"/>
  </r>
  <r>
    <s v="ORD10486"/>
    <d v="2024-10-06T00:00:00"/>
    <x v="3"/>
    <x v="3"/>
    <x v="2"/>
    <s v="Chair"/>
    <x v="7"/>
    <x v="7"/>
    <x v="1"/>
    <n v="19"/>
    <n v="482"/>
    <n v="9158"/>
    <n v="6545.72"/>
    <n v="2612.2800000000002"/>
    <x v="0"/>
  </r>
  <r>
    <s v="ORD10487"/>
    <d v="2025-12-17T00:00:00"/>
    <x v="1"/>
    <x v="2"/>
    <x v="2"/>
    <s v="Chair"/>
    <x v="7"/>
    <x v="6"/>
    <x v="1"/>
    <n v="17"/>
    <n v="1496"/>
    <n v="25432"/>
    <n v="17050.759999999998"/>
    <n v="8381.24"/>
    <x v="1"/>
  </r>
  <r>
    <s v="ORD10488"/>
    <d v="2025-10-20T00:00:00"/>
    <x v="2"/>
    <x v="0"/>
    <x v="2"/>
    <s v="Chair"/>
    <x v="7"/>
    <x v="7"/>
    <x v="0"/>
    <n v="1"/>
    <n v="724"/>
    <n v="724"/>
    <n v="529.25"/>
    <n v="194.75"/>
    <x v="1"/>
  </r>
  <r>
    <s v="ORD10489"/>
    <d v="2024-05-31T00:00:00"/>
    <x v="1"/>
    <x v="2"/>
    <x v="1"/>
    <s v="Phone"/>
    <x v="2"/>
    <x v="5"/>
    <x v="1"/>
    <n v="1"/>
    <n v="147"/>
    <n v="147"/>
    <n v="112.61"/>
    <n v="34.39"/>
    <x v="0"/>
  </r>
  <r>
    <s v="ORD10490"/>
    <d v="2024-03-26T00:00:00"/>
    <x v="2"/>
    <x v="0"/>
    <x v="0"/>
    <s v="Printer Ink"/>
    <x v="4"/>
    <x v="6"/>
    <x v="1"/>
    <n v="1"/>
    <n v="4917"/>
    <n v="4917"/>
    <n v="3219.3"/>
    <n v="1697.7"/>
    <x v="0"/>
  </r>
  <r>
    <s v="ORD10491"/>
    <d v="2024-08-11T00:00:00"/>
    <x v="2"/>
    <x v="1"/>
    <x v="2"/>
    <s v="Cabinet"/>
    <x v="3"/>
    <x v="6"/>
    <x v="0"/>
    <n v="2"/>
    <n v="4267"/>
    <n v="8534"/>
    <n v="5564.56"/>
    <n v="2969.44"/>
    <x v="0"/>
  </r>
  <r>
    <s v="ORD10492"/>
    <d v="2025-07-21T00:00:00"/>
    <x v="1"/>
    <x v="0"/>
    <x v="2"/>
    <s v="Cabinet"/>
    <x v="3"/>
    <x v="1"/>
    <x v="0"/>
    <n v="15"/>
    <n v="2072"/>
    <n v="31080"/>
    <n v="21921.35"/>
    <n v="9158.65"/>
    <x v="1"/>
  </r>
  <r>
    <s v="ORD10493"/>
    <d v="2025-08-22T00:00:00"/>
    <x v="0"/>
    <x v="2"/>
    <x v="1"/>
    <s v="Phone"/>
    <x v="2"/>
    <x v="7"/>
    <x v="0"/>
    <n v="16"/>
    <n v="3351"/>
    <n v="53616"/>
    <n v="36425.449999999997"/>
    <n v="17190.55"/>
    <x v="1"/>
  </r>
  <r>
    <s v="ORD10494"/>
    <d v="2024-01-12T00:00:00"/>
    <x v="1"/>
    <x v="1"/>
    <x v="0"/>
    <s v="Printer Ink"/>
    <x v="4"/>
    <x v="3"/>
    <x v="1"/>
    <n v="17"/>
    <n v="1337"/>
    <n v="22729"/>
    <n v="13973.49"/>
    <n v="8755.51"/>
    <x v="0"/>
  </r>
  <r>
    <s v="ORD10495"/>
    <d v="2025-06-12T00:00:00"/>
    <x v="2"/>
    <x v="4"/>
    <x v="2"/>
    <s v="Desk"/>
    <x v="6"/>
    <x v="0"/>
    <x v="1"/>
    <n v="5"/>
    <n v="2856"/>
    <n v="14280"/>
    <n v="8082.89"/>
    <n v="6197.11"/>
    <x v="1"/>
  </r>
  <r>
    <s v="ORD10496"/>
    <d v="2024-11-05T00:00:00"/>
    <x v="1"/>
    <x v="0"/>
    <x v="0"/>
    <s v="Paper"/>
    <x v="0"/>
    <x v="3"/>
    <x v="1"/>
    <n v="17"/>
    <n v="2651"/>
    <n v="45067"/>
    <n v="28460.17"/>
    <n v="16606.830000000002"/>
    <x v="0"/>
  </r>
  <r>
    <s v="ORD10497"/>
    <d v="2024-08-06T00:00:00"/>
    <x v="2"/>
    <x v="4"/>
    <x v="0"/>
    <s v="Paper"/>
    <x v="0"/>
    <x v="1"/>
    <x v="0"/>
    <n v="7"/>
    <n v="1999"/>
    <n v="13993"/>
    <n v="11468.19"/>
    <n v="2524.81"/>
    <x v="0"/>
  </r>
  <r>
    <s v="ORD10498"/>
    <d v="2025-01-02T00:00:00"/>
    <x v="1"/>
    <x v="4"/>
    <x v="0"/>
    <s v="Pen"/>
    <x v="8"/>
    <x v="3"/>
    <x v="0"/>
    <n v="3"/>
    <n v="782"/>
    <n v="2346"/>
    <n v="1478.7"/>
    <n v="867.3"/>
    <x v="1"/>
  </r>
  <r>
    <s v="ORD10499"/>
    <d v="2025-11-24T00:00:00"/>
    <x v="0"/>
    <x v="3"/>
    <x v="0"/>
    <s v="Paper"/>
    <x v="0"/>
    <x v="0"/>
    <x v="1"/>
    <n v="18"/>
    <n v="1069"/>
    <n v="19242"/>
    <n v="16053.23"/>
    <n v="3188.77"/>
    <x v="1"/>
  </r>
  <r>
    <s v="ORD10500"/>
    <d v="2024-12-10T00:00:00"/>
    <x v="3"/>
    <x v="2"/>
    <x v="1"/>
    <s v="Laptop"/>
    <x v="1"/>
    <x v="0"/>
    <x v="0"/>
    <n v="16"/>
    <n v="1657"/>
    <n v="26512"/>
    <n v="15646.28"/>
    <n v="10865.72"/>
    <x v="0"/>
  </r>
  <r>
    <s v="ORD10501"/>
    <d v="2025-12-22T00:00:00"/>
    <x v="1"/>
    <x v="4"/>
    <x v="1"/>
    <s v="Tablet"/>
    <x v="5"/>
    <x v="6"/>
    <x v="0"/>
    <n v="15"/>
    <n v="4119"/>
    <n v="61785"/>
    <n v="45613.54"/>
    <n v="16171.46"/>
    <x v="1"/>
  </r>
  <r>
    <s v="ORD10502"/>
    <d v="2025-12-08T00:00:00"/>
    <x v="0"/>
    <x v="1"/>
    <x v="1"/>
    <s v="Tablet"/>
    <x v="5"/>
    <x v="1"/>
    <x v="1"/>
    <n v="7"/>
    <n v="1067"/>
    <n v="7469"/>
    <n v="5266.51"/>
    <n v="2202.4899999999998"/>
    <x v="1"/>
  </r>
  <r>
    <s v="ORD10503"/>
    <d v="2024-03-16T00:00:00"/>
    <x v="1"/>
    <x v="2"/>
    <x v="1"/>
    <s v="Laptop"/>
    <x v="1"/>
    <x v="5"/>
    <x v="1"/>
    <n v="8"/>
    <n v="3079"/>
    <n v="24632"/>
    <n v="19616.52"/>
    <n v="5015.4799999999996"/>
    <x v="0"/>
  </r>
  <r>
    <s v="ORD10504"/>
    <d v="2024-10-08T00:00:00"/>
    <x v="2"/>
    <x v="4"/>
    <x v="0"/>
    <s v="Paper"/>
    <x v="0"/>
    <x v="2"/>
    <x v="0"/>
    <n v="16"/>
    <n v="3743"/>
    <n v="59888"/>
    <n v="39916.300000000003"/>
    <n v="19971.7"/>
    <x v="0"/>
  </r>
  <r>
    <s v="ORD10505"/>
    <d v="2025-05-25T00:00:00"/>
    <x v="3"/>
    <x v="2"/>
    <x v="2"/>
    <s v="Cabinet"/>
    <x v="3"/>
    <x v="1"/>
    <x v="0"/>
    <n v="7"/>
    <n v="4346"/>
    <n v="30422"/>
    <n v="19887.34"/>
    <n v="10534.66"/>
    <x v="1"/>
  </r>
  <r>
    <s v="ORD10506"/>
    <d v="2025-11-27T00:00:00"/>
    <x v="0"/>
    <x v="0"/>
    <x v="0"/>
    <s v="Pen"/>
    <x v="8"/>
    <x v="7"/>
    <x v="1"/>
    <n v="4"/>
    <n v="4931"/>
    <n v="19724"/>
    <n v="11334.11"/>
    <n v="8389.89"/>
    <x v="1"/>
  </r>
  <r>
    <s v="ORD10507"/>
    <d v="2025-12-05T00:00:00"/>
    <x v="2"/>
    <x v="0"/>
    <x v="0"/>
    <s v="Paper"/>
    <x v="0"/>
    <x v="3"/>
    <x v="0"/>
    <n v="17"/>
    <n v="2664"/>
    <n v="45288"/>
    <n v="35652.629999999997"/>
    <n v="9635.3700000000008"/>
    <x v="1"/>
  </r>
  <r>
    <s v="ORD10508"/>
    <d v="2025-05-16T00:00:00"/>
    <x v="0"/>
    <x v="4"/>
    <x v="2"/>
    <s v="Chair"/>
    <x v="7"/>
    <x v="0"/>
    <x v="0"/>
    <n v="16"/>
    <n v="1280"/>
    <n v="20480"/>
    <n v="13064.44"/>
    <n v="7415.56"/>
    <x v="1"/>
  </r>
  <r>
    <s v="ORD10509"/>
    <d v="2024-08-22T00:00:00"/>
    <x v="1"/>
    <x v="3"/>
    <x v="0"/>
    <s v="Pen"/>
    <x v="8"/>
    <x v="1"/>
    <x v="0"/>
    <n v="9"/>
    <n v="2470"/>
    <n v="22230"/>
    <n v="13233.23"/>
    <n v="8996.77"/>
    <x v="0"/>
  </r>
  <r>
    <s v="ORD10510"/>
    <d v="2025-06-02T00:00:00"/>
    <x v="2"/>
    <x v="2"/>
    <x v="0"/>
    <s v="Printer Ink"/>
    <x v="4"/>
    <x v="3"/>
    <x v="0"/>
    <n v="10"/>
    <n v="3099"/>
    <n v="30990"/>
    <n v="24542.57"/>
    <n v="6447.43"/>
    <x v="1"/>
  </r>
  <r>
    <s v="ORD10511"/>
    <d v="2024-03-09T00:00:00"/>
    <x v="0"/>
    <x v="2"/>
    <x v="2"/>
    <s v="Cabinet"/>
    <x v="3"/>
    <x v="3"/>
    <x v="0"/>
    <n v="1"/>
    <n v="2723"/>
    <n v="2723"/>
    <n v="1835.16"/>
    <n v="887.84"/>
    <x v="0"/>
  </r>
  <r>
    <s v="ORD10512"/>
    <d v="2025-01-17T00:00:00"/>
    <x v="0"/>
    <x v="0"/>
    <x v="2"/>
    <s v="Desk"/>
    <x v="6"/>
    <x v="2"/>
    <x v="0"/>
    <n v="3"/>
    <n v="1764"/>
    <n v="5292"/>
    <n v="3605.52"/>
    <n v="1686.48"/>
    <x v="1"/>
  </r>
  <r>
    <s v="ORD10513"/>
    <d v="2024-12-19T00:00:00"/>
    <x v="3"/>
    <x v="0"/>
    <x v="1"/>
    <s v="Tablet"/>
    <x v="5"/>
    <x v="5"/>
    <x v="0"/>
    <n v="16"/>
    <n v="2013"/>
    <n v="32208"/>
    <n v="18457.689999999999"/>
    <n v="13750.31"/>
    <x v="0"/>
  </r>
  <r>
    <s v="ORD10514"/>
    <d v="2024-07-19T00:00:00"/>
    <x v="2"/>
    <x v="0"/>
    <x v="2"/>
    <s v="Chair"/>
    <x v="7"/>
    <x v="7"/>
    <x v="0"/>
    <n v="4"/>
    <n v="1600"/>
    <n v="6400"/>
    <n v="4444.42"/>
    <n v="1955.58"/>
    <x v="0"/>
  </r>
  <r>
    <s v="ORD10515"/>
    <d v="2025-01-13T00:00:00"/>
    <x v="2"/>
    <x v="0"/>
    <x v="2"/>
    <s v="Desk"/>
    <x v="6"/>
    <x v="5"/>
    <x v="0"/>
    <n v="8"/>
    <n v="301"/>
    <n v="2408"/>
    <n v="1385.71"/>
    <n v="1022.29"/>
    <x v="1"/>
  </r>
  <r>
    <s v="ORD10516"/>
    <d v="2025-03-23T00:00:00"/>
    <x v="0"/>
    <x v="3"/>
    <x v="2"/>
    <s v="Desk"/>
    <x v="6"/>
    <x v="5"/>
    <x v="1"/>
    <n v="12"/>
    <n v="1067"/>
    <n v="12804"/>
    <n v="7430.31"/>
    <n v="5373.69"/>
    <x v="1"/>
  </r>
  <r>
    <s v="ORD10517"/>
    <d v="2025-03-19T00:00:00"/>
    <x v="0"/>
    <x v="0"/>
    <x v="1"/>
    <s v="Tablet"/>
    <x v="5"/>
    <x v="1"/>
    <x v="1"/>
    <n v="16"/>
    <n v="1754"/>
    <n v="28064"/>
    <n v="16257.53"/>
    <n v="11806.47"/>
    <x v="1"/>
  </r>
  <r>
    <s v="ORD10518"/>
    <d v="2025-08-21T00:00:00"/>
    <x v="1"/>
    <x v="1"/>
    <x v="1"/>
    <s v="Phone"/>
    <x v="2"/>
    <x v="6"/>
    <x v="1"/>
    <n v="1"/>
    <n v="1994"/>
    <n v="1994"/>
    <n v="1246.81"/>
    <n v="747.19"/>
    <x v="1"/>
  </r>
  <r>
    <s v="ORD10519"/>
    <d v="2024-01-20T00:00:00"/>
    <x v="3"/>
    <x v="3"/>
    <x v="1"/>
    <s v="Tablet"/>
    <x v="5"/>
    <x v="7"/>
    <x v="0"/>
    <n v="8"/>
    <n v="2245"/>
    <n v="17960"/>
    <n v="14930.58"/>
    <n v="3029.42"/>
    <x v="0"/>
  </r>
  <r>
    <s v="ORD10520"/>
    <d v="2025-03-14T00:00:00"/>
    <x v="3"/>
    <x v="4"/>
    <x v="0"/>
    <s v="Printer Ink"/>
    <x v="4"/>
    <x v="5"/>
    <x v="0"/>
    <n v="11"/>
    <n v="2575"/>
    <n v="28325"/>
    <n v="17991.27"/>
    <n v="10333.73"/>
    <x v="1"/>
  </r>
  <r>
    <s v="ORD10521"/>
    <d v="2024-03-12T00:00:00"/>
    <x v="3"/>
    <x v="1"/>
    <x v="0"/>
    <s v="Pen"/>
    <x v="8"/>
    <x v="0"/>
    <x v="1"/>
    <n v="15"/>
    <n v="317"/>
    <n v="4755"/>
    <n v="2966.52"/>
    <n v="1788.48"/>
    <x v="0"/>
  </r>
  <r>
    <s v="ORD10522"/>
    <d v="2025-10-06T00:00:00"/>
    <x v="2"/>
    <x v="1"/>
    <x v="2"/>
    <s v="Chair"/>
    <x v="7"/>
    <x v="7"/>
    <x v="0"/>
    <n v="3"/>
    <n v="4243"/>
    <n v="12729"/>
    <n v="10674.29"/>
    <n v="2054.71"/>
    <x v="1"/>
  </r>
  <r>
    <s v="ORD10523"/>
    <d v="2024-03-29T00:00:00"/>
    <x v="1"/>
    <x v="4"/>
    <x v="2"/>
    <s v="Cabinet"/>
    <x v="3"/>
    <x v="0"/>
    <x v="1"/>
    <n v="13"/>
    <n v="1507"/>
    <n v="19591"/>
    <n v="12127.51"/>
    <n v="7463.49"/>
    <x v="0"/>
  </r>
  <r>
    <s v="ORD10524"/>
    <d v="2024-11-11T00:00:00"/>
    <x v="0"/>
    <x v="5"/>
    <x v="2"/>
    <s v="Desk"/>
    <x v="6"/>
    <x v="3"/>
    <x v="0"/>
    <n v="11"/>
    <n v="2277"/>
    <n v="25047"/>
    <n v="14044.36"/>
    <n v="11002.64"/>
    <x v="0"/>
  </r>
  <r>
    <s v="ORD10525"/>
    <d v="2025-02-26T00:00:00"/>
    <x v="2"/>
    <x v="2"/>
    <x v="2"/>
    <s v="Cabinet"/>
    <x v="3"/>
    <x v="0"/>
    <x v="0"/>
    <n v="18"/>
    <n v="2115"/>
    <n v="38070"/>
    <n v="22911.74"/>
    <n v="15158.26"/>
    <x v="1"/>
  </r>
  <r>
    <s v="ORD10526"/>
    <d v="2024-04-16T00:00:00"/>
    <x v="0"/>
    <x v="1"/>
    <x v="2"/>
    <s v="Desk"/>
    <x v="6"/>
    <x v="2"/>
    <x v="1"/>
    <n v="8"/>
    <n v="1007"/>
    <n v="8056"/>
    <n v="6223.47"/>
    <n v="1832.53"/>
    <x v="0"/>
  </r>
  <r>
    <s v="ORD10527"/>
    <d v="2024-03-22T00:00:00"/>
    <x v="2"/>
    <x v="1"/>
    <x v="1"/>
    <s v="Phone"/>
    <x v="2"/>
    <x v="1"/>
    <x v="0"/>
    <n v="20"/>
    <n v="3455"/>
    <n v="69100"/>
    <n v="44338.9"/>
    <n v="24761.1"/>
    <x v="0"/>
  </r>
  <r>
    <s v="ORD10528"/>
    <d v="2024-01-15T00:00:00"/>
    <x v="3"/>
    <x v="0"/>
    <x v="2"/>
    <s v="Desk"/>
    <x v="6"/>
    <x v="7"/>
    <x v="1"/>
    <n v="9"/>
    <n v="2680"/>
    <n v="24120"/>
    <n v="16494.52"/>
    <n v="7625.48"/>
    <x v="0"/>
  </r>
  <r>
    <s v="ORD10529"/>
    <d v="2024-11-14T00:00:00"/>
    <x v="2"/>
    <x v="0"/>
    <x v="2"/>
    <s v="Desk"/>
    <x v="6"/>
    <x v="6"/>
    <x v="1"/>
    <n v="1"/>
    <n v="3696"/>
    <n v="3696"/>
    <n v="2070.77"/>
    <n v="1625.23"/>
    <x v="0"/>
  </r>
  <r>
    <s v="ORD10530"/>
    <d v="2025-11-05T00:00:00"/>
    <x v="1"/>
    <x v="3"/>
    <x v="1"/>
    <s v="Laptop"/>
    <x v="1"/>
    <x v="0"/>
    <x v="1"/>
    <n v="11"/>
    <n v="1576"/>
    <n v="17336"/>
    <n v="11162.97"/>
    <n v="6173.03"/>
    <x v="1"/>
  </r>
  <r>
    <s v="ORD10531"/>
    <d v="2025-08-17T00:00:00"/>
    <x v="1"/>
    <x v="3"/>
    <x v="1"/>
    <s v="Laptop"/>
    <x v="1"/>
    <x v="1"/>
    <x v="0"/>
    <n v="5"/>
    <n v="3962"/>
    <n v="19810"/>
    <n v="14662.68"/>
    <n v="5147.32"/>
    <x v="1"/>
  </r>
  <r>
    <s v="ORD10532"/>
    <d v="2024-12-20T00:00:00"/>
    <x v="1"/>
    <x v="2"/>
    <x v="2"/>
    <s v="Chair"/>
    <x v="7"/>
    <x v="3"/>
    <x v="0"/>
    <n v="4"/>
    <n v="4871"/>
    <n v="19484"/>
    <n v="11752.02"/>
    <n v="7731.98"/>
    <x v="0"/>
  </r>
  <r>
    <s v="ORD10533"/>
    <d v="2024-09-04T00:00:00"/>
    <x v="3"/>
    <x v="3"/>
    <x v="2"/>
    <s v="Cabinet"/>
    <x v="3"/>
    <x v="2"/>
    <x v="0"/>
    <n v="20"/>
    <n v="227"/>
    <n v="4540"/>
    <n v="3729.17"/>
    <n v="810.83"/>
    <x v="0"/>
  </r>
  <r>
    <s v="ORD10534"/>
    <d v="2024-11-20T00:00:00"/>
    <x v="2"/>
    <x v="1"/>
    <x v="1"/>
    <s v="Tablet"/>
    <x v="5"/>
    <x v="3"/>
    <x v="1"/>
    <n v="5"/>
    <n v="907"/>
    <n v="4535"/>
    <n v="3760.39"/>
    <n v="774.61"/>
    <x v="0"/>
  </r>
  <r>
    <s v="ORD10535"/>
    <d v="2025-10-19T00:00:00"/>
    <x v="1"/>
    <x v="0"/>
    <x v="2"/>
    <s v="Chair"/>
    <x v="7"/>
    <x v="5"/>
    <x v="1"/>
    <n v="20"/>
    <n v="2817"/>
    <n v="56340"/>
    <n v="36219.949999999997"/>
    <n v="20120.05"/>
    <x v="1"/>
  </r>
  <r>
    <s v="ORD10536"/>
    <d v="2024-06-27T00:00:00"/>
    <x v="0"/>
    <x v="1"/>
    <x v="1"/>
    <s v="Laptop"/>
    <x v="1"/>
    <x v="0"/>
    <x v="0"/>
    <n v="12"/>
    <n v="4375"/>
    <n v="52500"/>
    <n v="30896.5"/>
    <n v="21603.5"/>
    <x v="0"/>
  </r>
  <r>
    <s v="ORD10537"/>
    <d v="2025-11-19T00:00:00"/>
    <x v="3"/>
    <x v="2"/>
    <x v="0"/>
    <s v="Printer Ink"/>
    <x v="4"/>
    <x v="1"/>
    <x v="0"/>
    <n v="3"/>
    <n v="2537"/>
    <n v="7611"/>
    <n v="4817.8999999999996"/>
    <n v="2793.1"/>
    <x v="1"/>
  </r>
  <r>
    <s v="ORD10538"/>
    <d v="2024-08-29T00:00:00"/>
    <x v="1"/>
    <x v="3"/>
    <x v="2"/>
    <s v="Cabinet"/>
    <x v="3"/>
    <x v="7"/>
    <x v="0"/>
    <n v="4"/>
    <n v="2123"/>
    <n v="8492"/>
    <n v="4955.68"/>
    <n v="3536.32"/>
    <x v="0"/>
  </r>
  <r>
    <s v="ORD10539"/>
    <d v="2024-08-01T00:00:00"/>
    <x v="2"/>
    <x v="3"/>
    <x v="1"/>
    <s v="Laptop"/>
    <x v="1"/>
    <x v="3"/>
    <x v="1"/>
    <n v="7"/>
    <n v="1633"/>
    <n v="11431"/>
    <n v="8469.82"/>
    <n v="2961.18"/>
    <x v="0"/>
  </r>
  <r>
    <s v="ORD10540"/>
    <d v="2024-03-26T00:00:00"/>
    <x v="0"/>
    <x v="3"/>
    <x v="1"/>
    <s v="Tablet"/>
    <x v="5"/>
    <x v="7"/>
    <x v="0"/>
    <n v="11"/>
    <n v="2941"/>
    <n v="32351"/>
    <n v="25221.61"/>
    <n v="7129.39"/>
    <x v="0"/>
  </r>
  <r>
    <s v="ORD10541"/>
    <d v="2025-10-20T00:00:00"/>
    <x v="3"/>
    <x v="0"/>
    <x v="2"/>
    <s v="Desk"/>
    <x v="6"/>
    <x v="7"/>
    <x v="1"/>
    <n v="17"/>
    <n v="2995"/>
    <n v="50915"/>
    <n v="29895.27"/>
    <n v="21019.73"/>
    <x v="1"/>
  </r>
  <r>
    <s v="ORD10542"/>
    <d v="2025-10-13T00:00:00"/>
    <x v="0"/>
    <x v="2"/>
    <x v="1"/>
    <s v="Phone"/>
    <x v="2"/>
    <x v="5"/>
    <x v="1"/>
    <n v="18"/>
    <n v="811"/>
    <n v="14598"/>
    <n v="12238.07"/>
    <n v="2359.9299999999998"/>
    <x v="1"/>
  </r>
  <r>
    <s v="ORD10543"/>
    <d v="2025-08-29T00:00:00"/>
    <x v="3"/>
    <x v="5"/>
    <x v="0"/>
    <s v="Pen"/>
    <x v="8"/>
    <x v="1"/>
    <x v="1"/>
    <n v="9"/>
    <n v="2115"/>
    <n v="19035"/>
    <n v="16158.87"/>
    <n v="2876.13"/>
    <x v="1"/>
  </r>
  <r>
    <s v="ORD10544"/>
    <d v="2025-04-05T00:00:00"/>
    <x v="2"/>
    <x v="3"/>
    <x v="0"/>
    <s v="Printer Ink"/>
    <x v="4"/>
    <x v="0"/>
    <x v="1"/>
    <n v="8"/>
    <n v="3460"/>
    <n v="27680"/>
    <n v="20565.189999999999"/>
    <n v="7114.81"/>
    <x v="1"/>
  </r>
  <r>
    <s v="ORD10545"/>
    <d v="2025-08-06T00:00:00"/>
    <x v="1"/>
    <x v="5"/>
    <x v="2"/>
    <s v="Cabinet"/>
    <x v="3"/>
    <x v="5"/>
    <x v="0"/>
    <n v="10"/>
    <n v="500"/>
    <n v="5000"/>
    <n v="4015.02"/>
    <n v="984.98"/>
    <x v="1"/>
  </r>
  <r>
    <s v="ORD10546"/>
    <d v="2025-11-07T00:00:00"/>
    <x v="2"/>
    <x v="2"/>
    <x v="0"/>
    <s v="Pen"/>
    <x v="8"/>
    <x v="7"/>
    <x v="1"/>
    <n v="10"/>
    <n v="2676"/>
    <n v="26760"/>
    <n v="19471.41"/>
    <n v="7288.59"/>
    <x v="1"/>
  </r>
  <r>
    <s v="ORD10547"/>
    <d v="2024-08-09T00:00:00"/>
    <x v="3"/>
    <x v="0"/>
    <x v="2"/>
    <s v="Desk"/>
    <x v="6"/>
    <x v="4"/>
    <x v="0"/>
    <n v="13"/>
    <n v="4381"/>
    <n v="56953"/>
    <n v="40422.160000000003"/>
    <n v="16530.84"/>
    <x v="0"/>
  </r>
  <r>
    <s v="ORD10548"/>
    <d v="2025-08-10T00:00:00"/>
    <x v="0"/>
    <x v="5"/>
    <x v="1"/>
    <s v="Laptop"/>
    <x v="1"/>
    <x v="1"/>
    <x v="0"/>
    <n v="7"/>
    <n v="4071"/>
    <n v="28497"/>
    <n v="23628.36"/>
    <n v="4868.6400000000003"/>
    <x v="1"/>
  </r>
  <r>
    <s v="ORD10549"/>
    <d v="2024-08-04T00:00:00"/>
    <x v="3"/>
    <x v="5"/>
    <x v="2"/>
    <s v="Cabinet"/>
    <x v="3"/>
    <x v="6"/>
    <x v="0"/>
    <n v="4"/>
    <n v="1121"/>
    <n v="4484"/>
    <n v="3645.65"/>
    <n v="838.35"/>
    <x v="0"/>
  </r>
  <r>
    <s v="ORD10550"/>
    <d v="2025-05-25T00:00:00"/>
    <x v="3"/>
    <x v="4"/>
    <x v="1"/>
    <s v="Tablet"/>
    <x v="5"/>
    <x v="4"/>
    <x v="1"/>
    <n v="5"/>
    <n v="4501"/>
    <n v="22505"/>
    <n v="13396.43"/>
    <n v="9108.57"/>
    <x v="1"/>
  </r>
  <r>
    <s v="ORD10551"/>
    <d v="2025-02-23T00:00:00"/>
    <x v="3"/>
    <x v="3"/>
    <x v="1"/>
    <s v="Phone"/>
    <x v="2"/>
    <x v="1"/>
    <x v="0"/>
    <n v="8"/>
    <n v="356"/>
    <n v="2848"/>
    <n v="1663.85"/>
    <n v="1184.1500000000001"/>
    <x v="1"/>
  </r>
  <r>
    <s v="ORD10552"/>
    <d v="2025-02-12T00:00:00"/>
    <x v="3"/>
    <x v="5"/>
    <x v="1"/>
    <s v="Laptop"/>
    <x v="1"/>
    <x v="5"/>
    <x v="0"/>
    <n v="2"/>
    <n v="2990"/>
    <n v="5980"/>
    <n v="4493.3500000000004"/>
    <n v="1486.65"/>
    <x v="1"/>
  </r>
  <r>
    <s v="ORD10553"/>
    <d v="2024-10-10T00:00:00"/>
    <x v="0"/>
    <x v="1"/>
    <x v="1"/>
    <s v="Laptop"/>
    <x v="1"/>
    <x v="1"/>
    <x v="0"/>
    <n v="19"/>
    <n v="825"/>
    <n v="15675"/>
    <n v="11518.21"/>
    <n v="4156.79"/>
    <x v="0"/>
  </r>
  <r>
    <s v="ORD10554"/>
    <d v="2025-09-13T00:00:00"/>
    <x v="0"/>
    <x v="5"/>
    <x v="0"/>
    <s v="Paper"/>
    <x v="0"/>
    <x v="3"/>
    <x v="1"/>
    <n v="5"/>
    <n v="1507"/>
    <n v="7535"/>
    <n v="6393.58"/>
    <n v="1141.42"/>
    <x v="1"/>
  </r>
  <r>
    <s v="ORD10555"/>
    <d v="2025-02-17T00:00:00"/>
    <x v="1"/>
    <x v="3"/>
    <x v="2"/>
    <s v="Desk"/>
    <x v="6"/>
    <x v="1"/>
    <x v="1"/>
    <n v="9"/>
    <n v="2927"/>
    <n v="26343"/>
    <n v="19639.97"/>
    <n v="6703.03"/>
    <x v="1"/>
  </r>
  <r>
    <s v="ORD10556"/>
    <d v="2024-07-20T00:00:00"/>
    <x v="1"/>
    <x v="3"/>
    <x v="2"/>
    <s v="Desk"/>
    <x v="6"/>
    <x v="2"/>
    <x v="0"/>
    <n v="11"/>
    <n v="1560"/>
    <n v="17160"/>
    <n v="9603.7000000000007"/>
    <n v="7556.3"/>
    <x v="0"/>
  </r>
  <r>
    <s v="ORD10557"/>
    <d v="2025-02-14T00:00:00"/>
    <x v="2"/>
    <x v="0"/>
    <x v="1"/>
    <s v="Laptop"/>
    <x v="1"/>
    <x v="7"/>
    <x v="0"/>
    <n v="17"/>
    <n v="4784"/>
    <n v="81328"/>
    <n v="46609.47"/>
    <n v="34718.53"/>
    <x v="1"/>
  </r>
  <r>
    <s v="ORD10558"/>
    <d v="2025-06-05T00:00:00"/>
    <x v="3"/>
    <x v="3"/>
    <x v="0"/>
    <s v="Pen"/>
    <x v="8"/>
    <x v="1"/>
    <x v="1"/>
    <n v="6"/>
    <n v="4678"/>
    <n v="28068"/>
    <n v="18490.88"/>
    <n v="9577.1200000000008"/>
    <x v="1"/>
  </r>
  <r>
    <s v="ORD10559"/>
    <d v="2025-10-06T00:00:00"/>
    <x v="1"/>
    <x v="4"/>
    <x v="1"/>
    <s v="Laptop"/>
    <x v="1"/>
    <x v="2"/>
    <x v="0"/>
    <n v="14"/>
    <n v="4050"/>
    <n v="56700"/>
    <n v="36883.56"/>
    <n v="19816.439999999999"/>
    <x v="1"/>
  </r>
  <r>
    <s v="ORD10560"/>
    <d v="2025-02-06T00:00:00"/>
    <x v="3"/>
    <x v="2"/>
    <x v="2"/>
    <s v="Chair"/>
    <x v="7"/>
    <x v="3"/>
    <x v="0"/>
    <n v="15"/>
    <n v="590"/>
    <n v="8850"/>
    <n v="6616.8"/>
    <n v="2233.1999999999998"/>
    <x v="1"/>
  </r>
  <r>
    <s v="ORD10561"/>
    <d v="2024-06-21T00:00:00"/>
    <x v="3"/>
    <x v="4"/>
    <x v="1"/>
    <s v="Phone"/>
    <x v="2"/>
    <x v="0"/>
    <x v="0"/>
    <n v="4"/>
    <n v="4578"/>
    <n v="18312"/>
    <n v="13363.04"/>
    <n v="4948.96"/>
    <x v="0"/>
  </r>
  <r>
    <s v="ORD10562"/>
    <d v="2025-05-19T00:00:00"/>
    <x v="3"/>
    <x v="5"/>
    <x v="1"/>
    <s v="Tablet"/>
    <x v="5"/>
    <x v="4"/>
    <x v="1"/>
    <n v="16"/>
    <n v="594"/>
    <n v="9504"/>
    <n v="6102.66"/>
    <n v="3401.34"/>
    <x v="1"/>
  </r>
  <r>
    <s v="ORD10563"/>
    <d v="2024-11-09T00:00:00"/>
    <x v="2"/>
    <x v="5"/>
    <x v="1"/>
    <s v="Laptop"/>
    <x v="1"/>
    <x v="1"/>
    <x v="1"/>
    <n v="2"/>
    <n v="875"/>
    <n v="1750"/>
    <n v="967.15"/>
    <n v="782.85"/>
    <x v="0"/>
  </r>
  <r>
    <s v="ORD10564"/>
    <d v="2025-03-12T00:00:00"/>
    <x v="2"/>
    <x v="3"/>
    <x v="0"/>
    <s v="Pen"/>
    <x v="8"/>
    <x v="5"/>
    <x v="1"/>
    <n v="3"/>
    <n v="973"/>
    <n v="2919"/>
    <n v="2142.5700000000002"/>
    <n v="776.43"/>
    <x v="1"/>
  </r>
  <r>
    <s v="ORD10565"/>
    <d v="2024-04-08T00:00:00"/>
    <x v="3"/>
    <x v="0"/>
    <x v="0"/>
    <s v="Pen"/>
    <x v="8"/>
    <x v="2"/>
    <x v="1"/>
    <n v="3"/>
    <n v="4492"/>
    <n v="13476"/>
    <n v="10855.08"/>
    <n v="2620.92"/>
    <x v="0"/>
  </r>
  <r>
    <s v="ORD10566"/>
    <d v="2025-10-19T00:00:00"/>
    <x v="2"/>
    <x v="1"/>
    <x v="1"/>
    <s v="Laptop"/>
    <x v="1"/>
    <x v="1"/>
    <x v="1"/>
    <n v="2"/>
    <n v="450"/>
    <n v="900"/>
    <n v="587.27"/>
    <n v="312.73"/>
    <x v="1"/>
  </r>
  <r>
    <s v="ORD10567"/>
    <d v="2024-12-14T00:00:00"/>
    <x v="0"/>
    <x v="3"/>
    <x v="2"/>
    <s v="Desk"/>
    <x v="6"/>
    <x v="5"/>
    <x v="1"/>
    <n v="17"/>
    <n v="4339"/>
    <n v="73763"/>
    <n v="52775.77"/>
    <n v="20987.23"/>
    <x v="0"/>
  </r>
  <r>
    <s v="ORD10568"/>
    <d v="2025-09-12T00:00:00"/>
    <x v="1"/>
    <x v="5"/>
    <x v="1"/>
    <s v="Laptop"/>
    <x v="1"/>
    <x v="7"/>
    <x v="0"/>
    <n v="17"/>
    <n v="543"/>
    <n v="9231"/>
    <n v="5291.77"/>
    <n v="3939.23"/>
    <x v="1"/>
  </r>
  <r>
    <s v="ORD10569"/>
    <d v="2024-05-01T00:00:00"/>
    <x v="2"/>
    <x v="0"/>
    <x v="1"/>
    <s v="Laptop"/>
    <x v="1"/>
    <x v="3"/>
    <x v="1"/>
    <n v="7"/>
    <n v="1919"/>
    <n v="13433"/>
    <n v="11053.03"/>
    <n v="2379.9699999999998"/>
    <x v="0"/>
  </r>
  <r>
    <s v="ORD10570"/>
    <d v="2025-09-17T00:00:00"/>
    <x v="3"/>
    <x v="4"/>
    <x v="2"/>
    <s v="Desk"/>
    <x v="6"/>
    <x v="6"/>
    <x v="1"/>
    <n v="19"/>
    <n v="2387"/>
    <n v="45353"/>
    <n v="35345.96"/>
    <n v="10007.040000000001"/>
    <x v="1"/>
  </r>
  <r>
    <s v="ORD10571"/>
    <d v="2025-05-19T00:00:00"/>
    <x v="0"/>
    <x v="5"/>
    <x v="2"/>
    <s v="Desk"/>
    <x v="6"/>
    <x v="2"/>
    <x v="0"/>
    <n v="11"/>
    <n v="4055"/>
    <n v="44605"/>
    <n v="34702.910000000003"/>
    <n v="9902.09"/>
    <x v="1"/>
  </r>
  <r>
    <s v="ORD10572"/>
    <d v="2024-03-16T00:00:00"/>
    <x v="1"/>
    <x v="1"/>
    <x v="1"/>
    <s v="Tablet"/>
    <x v="5"/>
    <x v="2"/>
    <x v="0"/>
    <n v="10"/>
    <n v="3824"/>
    <n v="38240"/>
    <n v="30572.400000000001"/>
    <n v="7667.6"/>
    <x v="0"/>
  </r>
  <r>
    <s v="ORD10573"/>
    <d v="2025-04-25T00:00:00"/>
    <x v="2"/>
    <x v="2"/>
    <x v="1"/>
    <s v="Tablet"/>
    <x v="5"/>
    <x v="0"/>
    <x v="0"/>
    <n v="5"/>
    <n v="2664"/>
    <n v="13320"/>
    <n v="9453.2900000000009"/>
    <n v="3866.71"/>
    <x v="1"/>
  </r>
  <r>
    <s v="ORD10574"/>
    <d v="2024-05-17T00:00:00"/>
    <x v="2"/>
    <x v="3"/>
    <x v="1"/>
    <s v="Phone"/>
    <x v="2"/>
    <x v="5"/>
    <x v="0"/>
    <n v="7"/>
    <n v="1220"/>
    <n v="8540"/>
    <n v="5389.57"/>
    <n v="3150.43"/>
    <x v="0"/>
  </r>
  <r>
    <s v="ORD10575"/>
    <d v="2024-09-30T00:00:00"/>
    <x v="2"/>
    <x v="4"/>
    <x v="2"/>
    <s v="Desk"/>
    <x v="6"/>
    <x v="0"/>
    <x v="0"/>
    <n v="11"/>
    <n v="843"/>
    <n v="9273"/>
    <n v="5989.79"/>
    <n v="3283.21"/>
    <x v="0"/>
  </r>
  <r>
    <s v="ORD10576"/>
    <d v="2025-05-04T00:00:00"/>
    <x v="1"/>
    <x v="4"/>
    <x v="1"/>
    <s v="Phone"/>
    <x v="2"/>
    <x v="5"/>
    <x v="0"/>
    <n v="9"/>
    <n v="1617"/>
    <n v="14553"/>
    <n v="9154.11"/>
    <n v="5398.89"/>
    <x v="1"/>
  </r>
  <r>
    <s v="ORD10577"/>
    <d v="2024-12-17T00:00:00"/>
    <x v="1"/>
    <x v="0"/>
    <x v="1"/>
    <s v="Laptop"/>
    <x v="1"/>
    <x v="2"/>
    <x v="0"/>
    <n v="7"/>
    <n v="4696"/>
    <n v="32872"/>
    <n v="25350.53"/>
    <n v="7521.47"/>
    <x v="0"/>
  </r>
  <r>
    <s v="ORD10578"/>
    <d v="2024-04-21T00:00:00"/>
    <x v="0"/>
    <x v="4"/>
    <x v="1"/>
    <s v="Tablet"/>
    <x v="5"/>
    <x v="0"/>
    <x v="0"/>
    <n v="18"/>
    <n v="3453"/>
    <n v="62154"/>
    <n v="43301.95"/>
    <n v="18852.05"/>
    <x v="0"/>
  </r>
  <r>
    <s v="ORD10579"/>
    <d v="2024-05-08T00:00:00"/>
    <x v="1"/>
    <x v="5"/>
    <x v="1"/>
    <s v="Phone"/>
    <x v="2"/>
    <x v="3"/>
    <x v="0"/>
    <n v="3"/>
    <n v="1610"/>
    <n v="4830"/>
    <n v="2838.12"/>
    <n v="1991.88"/>
    <x v="0"/>
  </r>
  <r>
    <s v="ORD10580"/>
    <d v="2024-06-22T00:00:00"/>
    <x v="0"/>
    <x v="1"/>
    <x v="2"/>
    <s v="Cabinet"/>
    <x v="3"/>
    <x v="5"/>
    <x v="1"/>
    <n v="5"/>
    <n v="3384"/>
    <n v="16920"/>
    <n v="10086.92"/>
    <n v="6833.08"/>
    <x v="0"/>
  </r>
  <r>
    <s v="ORD10581"/>
    <d v="2024-01-28T00:00:00"/>
    <x v="3"/>
    <x v="5"/>
    <x v="2"/>
    <s v="Cabinet"/>
    <x v="3"/>
    <x v="6"/>
    <x v="1"/>
    <n v="1"/>
    <n v="2201"/>
    <n v="2201"/>
    <n v="1461.23"/>
    <n v="739.77"/>
    <x v="0"/>
  </r>
  <r>
    <s v="ORD10582"/>
    <d v="2024-10-14T00:00:00"/>
    <x v="0"/>
    <x v="4"/>
    <x v="2"/>
    <s v="Cabinet"/>
    <x v="3"/>
    <x v="1"/>
    <x v="1"/>
    <n v="10"/>
    <n v="350"/>
    <n v="3500"/>
    <n v="2005.6"/>
    <n v="1494.4"/>
    <x v="0"/>
  </r>
  <r>
    <s v="ORD10583"/>
    <d v="2025-10-12T00:00:00"/>
    <x v="3"/>
    <x v="2"/>
    <x v="2"/>
    <s v="Cabinet"/>
    <x v="3"/>
    <x v="5"/>
    <x v="1"/>
    <n v="5"/>
    <n v="1688"/>
    <n v="8440"/>
    <n v="5379.49"/>
    <n v="3060.51"/>
    <x v="1"/>
  </r>
  <r>
    <s v="ORD10584"/>
    <d v="2024-11-11T00:00:00"/>
    <x v="1"/>
    <x v="3"/>
    <x v="1"/>
    <s v="Laptop"/>
    <x v="1"/>
    <x v="0"/>
    <x v="1"/>
    <n v="12"/>
    <n v="966"/>
    <n v="11592"/>
    <n v="9732.57"/>
    <n v="1859.43"/>
    <x v="0"/>
  </r>
  <r>
    <s v="ORD10585"/>
    <d v="2024-04-09T00:00:00"/>
    <x v="0"/>
    <x v="4"/>
    <x v="0"/>
    <s v="Pen"/>
    <x v="8"/>
    <x v="2"/>
    <x v="0"/>
    <n v="1"/>
    <n v="3264"/>
    <n v="3264"/>
    <n v="2596.0500000000002"/>
    <n v="667.95"/>
    <x v="0"/>
  </r>
  <r>
    <s v="ORD10586"/>
    <d v="2024-02-02T00:00:00"/>
    <x v="2"/>
    <x v="5"/>
    <x v="2"/>
    <s v="Desk"/>
    <x v="6"/>
    <x v="1"/>
    <x v="1"/>
    <n v="13"/>
    <n v="2844"/>
    <n v="36972"/>
    <n v="21882.15"/>
    <n v="15089.85"/>
    <x v="0"/>
  </r>
  <r>
    <s v="ORD10587"/>
    <d v="2024-06-18T00:00:00"/>
    <x v="2"/>
    <x v="1"/>
    <x v="1"/>
    <s v="Phone"/>
    <x v="2"/>
    <x v="7"/>
    <x v="0"/>
    <n v="9"/>
    <n v="2803"/>
    <n v="25227"/>
    <n v="19514.43"/>
    <n v="5712.57"/>
    <x v="0"/>
  </r>
  <r>
    <s v="ORD10588"/>
    <d v="2025-09-02T00:00:00"/>
    <x v="1"/>
    <x v="3"/>
    <x v="2"/>
    <s v="Chair"/>
    <x v="7"/>
    <x v="0"/>
    <x v="1"/>
    <n v="11"/>
    <n v="741"/>
    <n v="8151"/>
    <n v="6087.92"/>
    <n v="2063.08"/>
    <x v="1"/>
  </r>
  <r>
    <s v="ORD10589"/>
    <d v="2024-01-09T00:00:00"/>
    <x v="0"/>
    <x v="2"/>
    <x v="1"/>
    <s v="Laptop"/>
    <x v="1"/>
    <x v="7"/>
    <x v="1"/>
    <n v="12"/>
    <n v="1112"/>
    <n v="13344"/>
    <n v="9344.8700000000008"/>
    <n v="3999.13"/>
    <x v="0"/>
  </r>
  <r>
    <s v="ORD10590"/>
    <d v="2024-11-11T00:00:00"/>
    <x v="0"/>
    <x v="4"/>
    <x v="0"/>
    <s v="Paper"/>
    <x v="0"/>
    <x v="5"/>
    <x v="0"/>
    <n v="1"/>
    <n v="4293"/>
    <n v="4293"/>
    <n v="3571.64"/>
    <n v="721.36"/>
    <x v="0"/>
  </r>
  <r>
    <s v="ORD10591"/>
    <d v="2025-07-13T00:00:00"/>
    <x v="2"/>
    <x v="3"/>
    <x v="1"/>
    <s v="Phone"/>
    <x v="2"/>
    <x v="1"/>
    <x v="0"/>
    <n v="19"/>
    <n v="1998"/>
    <n v="37962"/>
    <n v="23642.62"/>
    <n v="14319.38"/>
    <x v="1"/>
  </r>
  <r>
    <s v="ORD10592"/>
    <d v="2025-02-26T00:00:00"/>
    <x v="3"/>
    <x v="4"/>
    <x v="1"/>
    <s v="Phone"/>
    <x v="2"/>
    <x v="1"/>
    <x v="1"/>
    <n v="15"/>
    <n v="4690"/>
    <n v="70350"/>
    <n v="44135.040000000001"/>
    <n v="26214.959999999999"/>
    <x v="1"/>
  </r>
  <r>
    <s v="ORD10593"/>
    <d v="2024-08-09T00:00:00"/>
    <x v="3"/>
    <x v="0"/>
    <x v="2"/>
    <s v="Chair"/>
    <x v="7"/>
    <x v="5"/>
    <x v="0"/>
    <n v="6"/>
    <n v="4409"/>
    <n v="26454"/>
    <n v="19643.86"/>
    <n v="6810.14"/>
    <x v="0"/>
  </r>
  <r>
    <s v="ORD10594"/>
    <d v="2024-12-29T00:00:00"/>
    <x v="3"/>
    <x v="0"/>
    <x v="1"/>
    <s v="Tablet"/>
    <x v="5"/>
    <x v="5"/>
    <x v="0"/>
    <n v="5"/>
    <n v="2155"/>
    <n v="10775"/>
    <n v="7066.53"/>
    <n v="3708.47"/>
    <x v="0"/>
  </r>
  <r>
    <s v="ORD10595"/>
    <d v="2024-05-16T00:00:00"/>
    <x v="2"/>
    <x v="5"/>
    <x v="0"/>
    <s v="Pen"/>
    <x v="8"/>
    <x v="5"/>
    <x v="1"/>
    <n v="6"/>
    <n v="760"/>
    <n v="4560"/>
    <n v="2695.76"/>
    <n v="1864.24"/>
    <x v="0"/>
  </r>
  <r>
    <s v="ORD10596"/>
    <d v="2024-10-22T00:00:00"/>
    <x v="1"/>
    <x v="5"/>
    <x v="0"/>
    <s v="Printer Ink"/>
    <x v="4"/>
    <x v="4"/>
    <x v="1"/>
    <n v="19"/>
    <n v="4284"/>
    <n v="81396"/>
    <n v="67994.77"/>
    <n v="13401.23"/>
    <x v="0"/>
  </r>
  <r>
    <s v="ORD10597"/>
    <d v="2025-06-19T00:00:00"/>
    <x v="3"/>
    <x v="0"/>
    <x v="2"/>
    <s v="Desk"/>
    <x v="6"/>
    <x v="0"/>
    <x v="1"/>
    <n v="2"/>
    <n v="3725"/>
    <n v="7450"/>
    <n v="5058.6400000000003"/>
    <n v="2391.36"/>
    <x v="1"/>
  </r>
  <r>
    <s v="ORD10598"/>
    <d v="2025-07-19T00:00:00"/>
    <x v="1"/>
    <x v="5"/>
    <x v="1"/>
    <s v="Tablet"/>
    <x v="5"/>
    <x v="2"/>
    <x v="0"/>
    <n v="15"/>
    <n v="3710"/>
    <n v="55650"/>
    <n v="46912.69"/>
    <n v="8737.31"/>
    <x v="1"/>
  </r>
  <r>
    <s v="ORD10599"/>
    <d v="2025-11-19T00:00:00"/>
    <x v="1"/>
    <x v="0"/>
    <x v="1"/>
    <s v="Phone"/>
    <x v="2"/>
    <x v="4"/>
    <x v="1"/>
    <n v="2"/>
    <n v="4237"/>
    <n v="8474"/>
    <n v="6415.42"/>
    <n v="2058.58"/>
    <x v="1"/>
  </r>
  <r>
    <s v="ORD10600"/>
    <d v="2024-05-22T00:00:00"/>
    <x v="0"/>
    <x v="0"/>
    <x v="1"/>
    <s v="Laptop"/>
    <x v="1"/>
    <x v="3"/>
    <x v="1"/>
    <n v="1"/>
    <n v="1070"/>
    <n v="1070"/>
    <n v="635.15"/>
    <n v="434.85"/>
    <x v="0"/>
  </r>
  <r>
    <s v="ORD10601"/>
    <d v="2025-10-30T00:00:00"/>
    <x v="0"/>
    <x v="4"/>
    <x v="0"/>
    <s v="Printer Ink"/>
    <x v="4"/>
    <x v="6"/>
    <x v="0"/>
    <n v="13"/>
    <n v="2699"/>
    <n v="35087"/>
    <n v="28314.240000000002"/>
    <n v="6772.76"/>
    <x v="1"/>
  </r>
  <r>
    <s v="ORD10602"/>
    <d v="2025-10-13T00:00:00"/>
    <x v="2"/>
    <x v="1"/>
    <x v="0"/>
    <s v="Printer Ink"/>
    <x v="4"/>
    <x v="6"/>
    <x v="1"/>
    <n v="9"/>
    <n v="710"/>
    <n v="6390"/>
    <n v="4660.01"/>
    <n v="1729.99"/>
    <x v="1"/>
  </r>
  <r>
    <s v="ORD10603"/>
    <d v="2025-04-20T00:00:00"/>
    <x v="3"/>
    <x v="4"/>
    <x v="0"/>
    <s v="Pen"/>
    <x v="8"/>
    <x v="1"/>
    <x v="0"/>
    <n v="3"/>
    <n v="3765"/>
    <n v="11295"/>
    <n v="7912.8"/>
    <n v="3382.2"/>
    <x v="1"/>
  </r>
  <r>
    <s v="ORD10604"/>
    <d v="2024-07-17T00:00:00"/>
    <x v="3"/>
    <x v="3"/>
    <x v="2"/>
    <s v="Desk"/>
    <x v="6"/>
    <x v="0"/>
    <x v="0"/>
    <n v="14"/>
    <n v="681"/>
    <n v="9534"/>
    <n v="5733.19"/>
    <n v="3800.81"/>
    <x v="0"/>
  </r>
  <r>
    <s v="ORD10605"/>
    <d v="2025-04-25T00:00:00"/>
    <x v="0"/>
    <x v="2"/>
    <x v="2"/>
    <s v="Chair"/>
    <x v="7"/>
    <x v="0"/>
    <x v="0"/>
    <n v="17"/>
    <n v="1449"/>
    <n v="24633"/>
    <n v="13796.29"/>
    <n v="10836.71"/>
    <x v="1"/>
  </r>
  <r>
    <s v="ORD10606"/>
    <d v="2025-09-14T00:00:00"/>
    <x v="2"/>
    <x v="5"/>
    <x v="1"/>
    <s v="Laptop"/>
    <x v="1"/>
    <x v="0"/>
    <x v="1"/>
    <n v="18"/>
    <n v="441"/>
    <n v="7938"/>
    <n v="5378.22"/>
    <n v="2559.7800000000002"/>
    <x v="1"/>
  </r>
  <r>
    <s v="ORD10607"/>
    <d v="2025-07-02T00:00:00"/>
    <x v="0"/>
    <x v="0"/>
    <x v="1"/>
    <s v="Laptop"/>
    <x v="1"/>
    <x v="5"/>
    <x v="0"/>
    <n v="4"/>
    <n v="3199"/>
    <n v="12796"/>
    <n v="8337.6299999999992"/>
    <n v="4458.37"/>
    <x v="1"/>
  </r>
  <r>
    <s v="ORD10608"/>
    <d v="2025-10-28T00:00:00"/>
    <x v="3"/>
    <x v="3"/>
    <x v="0"/>
    <s v="Paper"/>
    <x v="0"/>
    <x v="4"/>
    <x v="0"/>
    <n v="10"/>
    <n v="1921"/>
    <n v="19210"/>
    <n v="12537.56"/>
    <n v="6672.44"/>
    <x v="1"/>
  </r>
  <r>
    <s v="ORD10609"/>
    <d v="2024-11-21T00:00:00"/>
    <x v="2"/>
    <x v="1"/>
    <x v="2"/>
    <s v="Chair"/>
    <x v="7"/>
    <x v="7"/>
    <x v="1"/>
    <n v="17"/>
    <n v="4685"/>
    <n v="79645"/>
    <n v="58174.47"/>
    <n v="21470.53"/>
    <x v="0"/>
  </r>
  <r>
    <s v="ORD10610"/>
    <d v="2024-10-22T00:00:00"/>
    <x v="0"/>
    <x v="1"/>
    <x v="0"/>
    <s v="Pen"/>
    <x v="8"/>
    <x v="6"/>
    <x v="1"/>
    <n v="17"/>
    <n v="4315"/>
    <n v="73355"/>
    <n v="57643"/>
    <n v="15712"/>
    <x v="0"/>
  </r>
  <r>
    <s v="ORD10611"/>
    <d v="2024-10-02T00:00:00"/>
    <x v="3"/>
    <x v="0"/>
    <x v="0"/>
    <s v="Pen"/>
    <x v="8"/>
    <x v="0"/>
    <x v="0"/>
    <n v="16"/>
    <n v="3507"/>
    <n v="56112"/>
    <n v="35124.93"/>
    <n v="20987.07"/>
    <x v="0"/>
  </r>
  <r>
    <s v="ORD10612"/>
    <d v="2024-09-02T00:00:00"/>
    <x v="1"/>
    <x v="3"/>
    <x v="2"/>
    <s v="Desk"/>
    <x v="6"/>
    <x v="4"/>
    <x v="0"/>
    <n v="17"/>
    <n v="3357"/>
    <n v="57069"/>
    <n v="45063.17"/>
    <n v="12005.83"/>
    <x v="0"/>
  </r>
  <r>
    <s v="ORD10613"/>
    <d v="2024-09-24T00:00:00"/>
    <x v="3"/>
    <x v="4"/>
    <x v="2"/>
    <s v="Desk"/>
    <x v="6"/>
    <x v="1"/>
    <x v="1"/>
    <n v="10"/>
    <n v="1427"/>
    <n v="14270"/>
    <n v="11996.96"/>
    <n v="2273.04"/>
    <x v="0"/>
  </r>
  <r>
    <s v="ORD10614"/>
    <d v="2024-07-15T00:00:00"/>
    <x v="2"/>
    <x v="0"/>
    <x v="0"/>
    <s v="Pen"/>
    <x v="8"/>
    <x v="3"/>
    <x v="0"/>
    <n v="6"/>
    <n v="286"/>
    <n v="1716"/>
    <n v="1063.0999999999999"/>
    <n v="652.9"/>
    <x v="0"/>
  </r>
  <r>
    <s v="ORD10615"/>
    <d v="2024-11-05T00:00:00"/>
    <x v="0"/>
    <x v="1"/>
    <x v="0"/>
    <s v="Paper"/>
    <x v="0"/>
    <x v="3"/>
    <x v="0"/>
    <n v="20"/>
    <n v="3807"/>
    <n v="76140"/>
    <n v="52894.52"/>
    <n v="23245.48"/>
    <x v="0"/>
  </r>
  <r>
    <s v="ORD10616"/>
    <d v="2025-08-18T00:00:00"/>
    <x v="0"/>
    <x v="2"/>
    <x v="1"/>
    <s v="Phone"/>
    <x v="2"/>
    <x v="7"/>
    <x v="1"/>
    <n v="14"/>
    <n v="2086"/>
    <n v="29204"/>
    <n v="19893.310000000001"/>
    <n v="9310.69"/>
    <x v="1"/>
  </r>
  <r>
    <s v="ORD10617"/>
    <d v="2025-03-26T00:00:00"/>
    <x v="3"/>
    <x v="4"/>
    <x v="0"/>
    <s v="Paper"/>
    <x v="0"/>
    <x v="7"/>
    <x v="0"/>
    <n v="10"/>
    <n v="4985"/>
    <n v="49850"/>
    <n v="27535.62"/>
    <n v="22314.38"/>
    <x v="1"/>
  </r>
  <r>
    <s v="ORD10618"/>
    <d v="2025-07-27T00:00:00"/>
    <x v="2"/>
    <x v="4"/>
    <x v="0"/>
    <s v="Printer Ink"/>
    <x v="4"/>
    <x v="5"/>
    <x v="1"/>
    <n v="4"/>
    <n v="4288"/>
    <n v="17152"/>
    <n v="11432.38"/>
    <n v="5719.62"/>
    <x v="1"/>
  </r>
  <r>
    <s v="ORD10619"/>
    <d v="2025-05-03T00:00:00"/>
    <x v="2"/>
    <x v="1"/>
    <x v="1"/>
    <s v="Phone"/>
    <x v="2"/>
    <x v="6"/>
    <x v="0"/>
    <n v="19"/>
    <n v="3924"/>
    <n v="74556"/>
    <n v="49946.99"/>
    <n v="24609.01"/>
    <x v="1"/>
  </r>
  <r>
    <s v="ORD10620"/>
    <d v="2025-10-10T00:00:00"/>
    <x v="2"/>
    <x v="4"/>
    <x v="2"/>
    <s v="Cabinet"/>
    <x v="3"/>
    <x v="2"/>
    <x v="1"/>
    <n v="14"/>
    <n v="4443"/>
    <n v="62202"/>
    <n v="36720.31"/>
    <n v="25481.69"/>
    <x v="1"/>
  </r>
  <r>
    <s v="ORD10621"/>
    <d v="2025-09-14T00:00:00"/>
    <x v="2"/>
    <x v="4"/>
    <x v="2"/>
    <s v="Chair"/>
    <x v="7"/>
    <x v="3"/>
    <x v="0"/>
    <n v="4"/>
    <n v="3180"/>
    <n v="12720"/>
    <n v="8293.43"/>
    <n v="4426.57"/>
    <x v="1"/>
  </r>
  <r>
    <s v="ORD10622"/>
    <d v="2024-02-28T00:00:00"/>
    <x v="3"/>
    <x v="4"/>
    <x v="1"/>
    <s v="Phone"/>
    <x v="2"/>
    <x v="3"/>
    <x v="1"/>
    <n v="3"/>
    <n v="3038"/>
    <n v="9114"/>
    <n v="7322.75"/>
    <n v="1791.25"/>
    <x v="0"/>
  </r>
  <r>
    <s v="ORD10623"/>
    <d v="2024-05-25T00:00:00"/>
    <x v="2"/>
    <x v="4"/>
    <x v="2"/>
    <s v="Desk"/>
    <x v="6"/>
    <x v="6"/>
    <x v="1"/>
    <n v="1"/>
    <n v="4854"/>
    <n v="4854"/>
    <n v="3075.14"/>
    <n v="1778.86"/>
    <x v="0"/>
  </r>
  <r>
    <s v="ORD10624"/>
    <d v="2024-12-16T00:00:00"/>
    <x v="0"/>
    <x v="3"/>
    <x v="1"/>
    <s v="Tablet"/>
    <x v="5"/>
    <x v="6"/>
    <x v="1"/>
    <n v="11"/>
    <n v="2553"/>
    <n v="28083"/>
    <n v="19428.849999999999"/>
    <n v="8654.15"/>
    <x v="0"/>
  </r>
  <r>
    <s v="ORD10625"/>
    <d v="2025-01-06T00:00:00"/>
    <x v="3"/>
    <x v="5"/>
    <x v="1"/>
    <s v="Laptop"/>
    <x v="1"/>
    <x v="6"/>
    <x v="1"/>
    <n v="3"/>
    <n v="388"/>
    <n v="1164"/>
    <n v="921.47"/>
    <n v="242.53"/>
    <x v="1"/>
  </r>
  <r>
    <s v="ORD10626"/>
    <d v="2025-11-24T00:00:00"/>
    <x v="0"/>
    <x v="5"/>
    <x v="2"/>
    <s v="Chair"/>
    <x v="7"/>
    <x v="4"/>
    <x v="0"/>
    <n v="6"/>
    <n v="3423"/>
    <n v="20538"/>
    <n v="15823.1"/>
    <n v="4714.8999999999996"/>
    <x v="1"/>
  </r>
  <r>
    <s v="ORD10627"/>
    <d v="2024-05-25T00:00:00"/>
    <x v="3"/>
    <x v="4"/>
    <x v="0"/>
    <s v="Printer Ink"/>
    <x v="4"/>
    <x v="0"/>
    <x v="0"/>
    <n v="5"/>
    <n v="4760"/>
    <n v="23800"/>
    <n v="14506.38"/>
    <n v="9293.6200000000008"/>
    <x v="0"/>
  </r>
  <r>
    <s v="ORD10628"/>
    <d v="2025-05-09T00:00:00"/>
    <x v="0"/>
    <x v="3"/>
    <x v="1"/>
    <s v="Tablet"/>
    <x v="5"/>
    <x v="6"/>
    <x v="1"/>
    <n v="15"/>
    <n v="3480"/>
    <n v="52200"/>
    <n v="28979.01"/>
    <n v="23220.99"/>
    <x v="1"/>
  </r>
  <r>
    <s v="ORD10629"/>
    <d v="2024-02-09T00:00:00"/>
    <x v="1"/>
    <x v="1"/>
    <x v="0"/>
    <s v="Printer Ink"/>
    <x v="4"/>
    <x v="2"/>
    <x v="1"/>
    <n v="16"/>
    <n v="4572"/>
    <n v="73152"/>
    <n v="58727.83"/>
    <n v="14424.17"/>
    <x v="0"/>
  </r>
  <r>
    <s v="ORD10630"/>
    <d v="2024-04-17T00:00:00"/>
    <x v="1"/>
    <x v="1"/>
    <x v="0"/>
    <s v="Paper"/>
    <x v="0"/>
    <x v="2"/>
    <x v="0"/>
    <n v="8"/>
    <n v="543"/>
    <n v="4344"/>
    <n v="3625.38"/>
    <n v="718.62"/>
    <x v="0"/>
  </r>
  <r>
    <s v="ORD10631"/>
    <d v="2024-09-22T00:00:00"/>
    <x v="0"/>
    <x v="1"/>
    <x v="0"/>
    <s v="Paper"/>
    <x v="0"/>
    <x v="4"/>
    <x v="1"/>
    <n v="5"/>
    <n v="2120"/>
    <n v="10600"/>
    <n v="8964.52"/>
    <n v="1635.48"/>
    <x v="0"/>
  </r>
  <r>
    <s v="ORD10632"/>
    <d v="2024-05-16T00:00:00"/>
    <x v="3"/>
    <x v="4"/>
    <x v="2"/>
    <s v="Chair"/>
    <x v="7"/>
    <x v="4"/>
    <x v="0"/>
    <n v="18"/>
    <n v="4151"/>
    <n v="74718"/>
    <n v="61273.94"/>
    <n v="13444.06"/>
    <x v="0"/>
  </r>
  <r>
    <s v="ORD10633"/>
    <d v="2025-12-20T00:00:00"/>
    <x v="3"/>
    <x v="2"/>
    <x v="1"/>
    <s v="Laptop"/>
    <x v="1"/>
    <x v="3"/>
    <x v="1"/>
    <n v="15"/>
    <n v="3346"/>
    <n v="50190"/>
    <n v="41315.760000000002"/>
    <n v="8874.24"/>
    <x v="1"/>
  </r>
  <r>
    <s v="ORD10634"/>
    <d v="2025-03-29T00:00:00"/>
    <x v="1"/>
    <x v="2"/>
    <x v="2"/>
    <s v="Chair"/>
    <x v="7"/>
    <x v="3"/>
    <x v="1"/>
    <n v="10"/>
    <n v="3048"/>
    <n v="30480"/>
    <n v="22205.75"/>
    <n v="8274.25"/>
    <x v="1"/>
  </r>
  <r>
    <s v="ORD10635"/>
    <d v="2024-06-02T00:00:00"/>
    <x v="0"/>
    <x v="0"/>
    <x v="2"/>
    <s v="Cabinet"/>
    <x v="3"/>
    <x v="5"/>
    <x v="1"/>
    <n v="17"/>
    <n v="4565"/>
    <n v="77605"/>
    <n v="63232.01"/>
    <n v="14372.99"/>
    <x v="0"/>
  </r>
  <r>
    <s v="ORD10636"/>
    <d v="2025-12-17T00:00:00"/>
    <x v="3"/>
    <x v="3"/>
    <x v="0"/>
    <s v="Pen"/>
    <x v="8"/>
    <x v="4"/>
    <x v="1"/>
    <n v="3"/>
    <n v="927"/>
    <n v="2781"/>
    <n v="1794.14"/>
    <n v="986.86"/>
    <x v="1"/>
  </r>
  <r>
    <s v="ORD10637"/>
    <d v="2024-05-13T00:00:00"/>
    <x v="1"/>
    <x v="1"/>
    <x v="2"/>
    <s v="Desk"/>
    <x v="6"/>
    <x v="1"/>
    <x v="1"/>
    <n v="1"/>
    <n v="4198"/>
    <n v="4198"/>
    <n v="2534.09"/>
    <n v="1663.91"/>
    <x v="0"/>
  </r>
  <r>
    <s v="ORD10638"/>
    <d v="2025-05-29T00:00:00"/>
    <x v="2"/>
    <x v="1"/>
    <x v="0"/>
    <s v="Paper"/>
    <x v="0"/>
    <x v="5"/>
    <x v="0"/>
    <n v="4"/>
    <n v="1294"/>
    <n v="5176"/>
    <n v="3785.88"/>
    <n v="1390.12"/>
    <x v="1"/>
  </r>
  <r>
    <s v="ORD10639"/>
    <d v="2024-07-30T00:00:00"/>
    <x v="1"/>
    <x v="0"/>
    <x v="2"/>
    <s v="Desk"/>
    <x v="6"/>
    <x v="7"/>
    <x v="1"/>
    <n v="20"/>
    <n v="4198"/>
    <n v="83960"/>
    <n v="68141.88"/>
    <n v="15818.12"/>
    <x v="0"/>
  </r>
  <r>
    <s v="ORD10640"/>
    <d v="2024-07-14T00:00:00"/>
    <x v="2"/>
    <x v="5"/>
    <x v="2"/>
    <s v="Chair"/>
    <x v="7"/>
    <x v="0"/>
    <x v="0"/>
    <n v="10"/>
    <n v="3064"/>
    <n v="30640"/>
    <n v="23445.17"/>
    <n v="7194.83"/>
    <x v="0"/>
  </r>
  <r>
    <s v="ORD10641"/>
    <d v="2025-10-20T00:00:00"/>
    <x v="2"/>
    <x v="5"/>
    <x v="0"/>
    <s v="Printer Ink"/>
    <x v="4"/>
    <x v="2"/>
    <x v="0"/>
    <n v="6"/>
    <n v="1671"/>
    <n v="10026"/>
    <n v="7458.48"/>
    <n v="2567.52"/>
    <x v="1"/>
  </r>
  <r>
    <s v="ORD10642"/>
    <d v="2025-07-02T00:00:00"/>
    <x v="1"/>
    <x v="3"/>
    <x v="1"/>
    <s v="Tablet"/>
    <x v="5"/>
    <x v="6"/>
    <x v="0"/>
    <n v="8"/>
    <n v="3835"/>
    <n v="30680"/>
    <n v="21480.11"/>
    <n v="9199.89"/>
    <x v="1"/>
  </r>
  <r>
    <s v="ORD10643"/>
    <d v="2025-06-03T00:00:00"/>
    <x v="0"/>
    <x v="2"/>
    <x v="0"/>
    <s v="Printer Ink"/>
    <x v="4"/>
    <x v="2"/>
    <x v="1"/>
    <n v="19"/>
    <n v="990"/>
    <n v="18810"/>
    <n v="10884.67"/>
    <n v="7925.33"/>
    <x v="1"/>
  </r>
  <r>
    <s v="ORD10644"/>
    <d v="2024-07-17T00:00:00"/>
    <x v="0"/>
    <x v="4"/>
    <x v="0"/>
    <s v="Pen"/>
    <x v="8"/>
    <x v="1"/>
    <x v="1"/>
    <n v="3"/>
    <n v="886"/>
    <n v="2658"/>
    <n v="2180.66"/>
    <n v="477.34"/>
    <x v="0"/>
  </r>
  <r>
    <s v="ORD10645"/>
    <d v="2024-03-27T00:00:00"/>
    <x v="2"/>
    <x v="1"/>
    <x v="2"/>
    <s v="Desk"/>
    <x v="6"/>
    <x v="7"/>
    <x v="1"/>
    <n v="18"/>
    <n v="2681"/>
    <n v="48258"/>
    <n v="29236.73"/>
    <n v="19021.27"/>
    <x v="0"/>
  </r>
  <r>
    <s v="ORD10646"/>
    <d v="2025-07-05T00:00:00"/>
    <x v="1"/>
    <x v="2"/>
    <x v="0"/>
    <s v="Pen"/>
    <x v="8"/>
    <x v="6"/>
    <x v="1"/>
    <n v="7"/>
    <n v="4861"/>
    <n v="34027"/>
    <n v="20099.93"/>
    <n v="13927.07"/>
    <x v="1"/>
  </r>
  <r>
    <s v="ORD10647"/>
    <d v="2025-11-08T00:00:00"/>
    <x v="1"/>
    <x v="2"/>
    <x v="2"/>
    <s v="Chair"/>
    <x v="7"/>
    <x v="2"/>
    <x v="1"/>
    <n v="8"/>
    <n v="2968"/>
    <n v="23744"/>
    <n v="15209.15"/>
    <n v="8534.85"/>
    <x v="1"/>
  </r>
  <r>
    <s v="ORD10648"/>
    <d v="2024-02-19T00:00:00"/>
    <x v="1"/>
    <x v="2"/>
    <x v="1"/>
    <s v="Phone"/>
    <x v="2"/>
    <x v="7"/>
    <x v="0"/>
    <n v="12"/>
    <n v="1681"/>
    <n v="20172"/>
    <n v="11526.68"/>
    <n v="8645.32"/>
    <x v="0"/>
  </r>
  <r>
    <s v="ORD10649"/>
    <d v="2025-05-06T00:00:00"/>
    <x v="2"/>
    <x v="1"/>
    <x v="1"/>
    <s v="Laptop"/>
    <x v="1"/>
    <x v="4"/>
    <x v="0"/>
    <n v="4"/>
    <n v="561"/>
    <n v="2244"/>
    <n v="1661.97"/>
    <n v="582.03"/>
    <x v="1"/>
  </r>
  <r>
    <s v="ORD10650"/>
    <d v="2024-05-09T00:00:00"/>
    <x v="0"/>
    <x v="3"/>
    <x v="2"/>
    <s v="Chair"/>
    <x v="7"/>
    <x v="0"/>
    <x v="0"/>
    <n v="20"/>
    <n v="1238"/>
    <n v="24760"/>
    <n v="18192.03"/>
    <n v="6567.97"/>
    <x v="0"/>
  </r>
  <r>
    <s v="ORD10651"/>
    <d v="2024-07-10T00:00:00"/>
    <x v="3"/>
    <x v="1"/>
    <x v="0"/>
    <s v="Paper"/>
    <x v="0"/>
    <x v="6"/>
    <x v="0"/>
    <n v="14"/>
    <n v="3651"/>
    <n v="51114"/>
    <n v="38989.9"/>
    <n v="12124.1"/>
    <x v="0"/>
  </r>
  <r>
    <s v="ORD10652"/>
    <d v="2024-01-25T00:00:00"/>
    <x v="0"/>
    <x v="2"/>
    <x v="0"/>
    <s v="Paper"/>
    <x v="0"/>
    <x v="6"/>
    <x v="0"/>
    <n v="5"/>
    <n v="4073"/>
    <n v="20365"/>
    <n v="13619.78"/>
    <n v="6745.22"/>
    <x v="0"/>
  </r>
  <r>
    <s v="ORD10653"/>
    <d v="2025-03-28T00:00:00"/>
    <x v="2"/>
    <x v="4"/>
    <x v="2"/>
    <s v="Desk"/>
    <x v="6"/>
    <x v="7"/>
    <x v="0"/>
    <n v="4"/>
    <n v="1838"/>
    <n v="7352"/>
    <n v="4733.92"/>
    <n v="2618.08"/>
    <x v="1"/>
  </r>
  <r>
    <s v="ORD10654"/>
    <d v="2025-05-30T00:00:00"/>
    <x v="0"/>
    <x v="5"/>
    <x v="2"/>
    <s v="Cabinet"/>
    <x v="3"/>
    <x v="1"/>
    <x v="1"/>
    <n v="14"/>
    <n v="3363"/>
    <n v="47082"/>
    <n v="31927.67"/>
    <n v="15154.33"/>
    <x v="1"/>
  </r>
  <r>
    <s v="ORD10655"/>
    <d v="2024-01-17T00:00:00"/>
    <x v="0"/>
    <x v="5"/>
    <x v="1"/>
    <s v="Phone"/>
    <x v="2"/>
    <x v="7"/>
    <x v="1"/>
    <n v="4"/>
    <n v="2721"/>
    <n v="10884"/>
    <n v="8180.34"/>
    <n v="2703.66"/>
    <x v="0"/>
  </r>
  <r>
    <s v="ORD10656"/>
    <d v="2025-05-28T00:00:00"/>
    <x v="2"/>
    <x v="5"/>
    <x v="2"/>
    <s v="Cabinet"/>
    <x v="3"/>
    <x v="2"/>
    <x v="0"/>
    <n v="17"/>
    <n v="2745"/>
    <n v="46665"/>
    <n v="33947.81"/>
    <n v="12717.19"/>
    <x v="1"/>
  </r>
  <r>
    <s v="ORD10657"/>
    <d v="2025-01-01T00:00:00"/>
    <x v="2"/>
    <x v="0"/>
    <x v="1"/>
    <s v="Laptop"/>
    <x v="1"/>
    <x v="3"/>
    <x v="1"/>
    <n v="5"/>
    <n v="1477"/>
    <n v="7385"/>
    <n v="5978.37"/>
    <n v="1406.63"/>
    <x v="1"/>
  </r>
  <r>
    <s v="ORD10658"/>
    <d v="2025-10-25T00:00:00"/>
    <x v="2"/>
    <x v="5"/>
    <x v="2"/>
    <s v="Cabinet"/>
    <x v="3"/>
    <x v="7"/>
    <x v="1"/>
    <n v="12"/>
    <n v="4849"/>
    <n v="58188"/>
    <n v="35150.14"/>
    <n v="23037.86"/>
    <x v="1"/>
  </r>
  <r>
    <s v="ORD10659"/>
    <d v="2025-04-08T00:00:00"/>
    <x v="0"/>
    <x v="5"/>
    <x v="2"/>
    <s v="Desk"/>
    <x v="6"/>
    <x v="5"/>
    <x v="1"/>
    <n v="15"/>
    <n v="3067"/>
    <n v="46005"/>
    <n v="35735.360000000001"/>
    <n v="10269.64"/>
    <x v="1"/>
  </r>
  <r>
    <s v="ORD10660"/>
    <d v="2025-10-30T00:00:00"/>
    <x v="1"/>
    <x v="0"/>
    <x v="2"/>
    <s v="Chair"/>
    <x v="7"/>
    <x v="5"/>
    <x v="1"/>
    <n v="2"/>
    <n v="3810"/>
    <n v="7620"/>
    <n v="5677.68"/>
    <n v="1942.32"/>
    <x v="1"/>
  </r>
  <r>
    <s v="ORD10661"/>
    <d v="2025-03-16T00:00:00"/>
    <x v="1"/>
    <x v="4"/>
    <x v="1"/>
    <s v="Laptop"/>
    <x v="1"/>
    <x v="0"/>
    <x v="1"/>
    <n v="19"/>
    <n v="2161"/>
    <n v="41059"/>
    <n v="29950.36"/>
    <n v="11108.64"/>
    <x v="1"/>
  </r>
  <r>
    <s v="ORD10662"/>
    <d v="2025-07-07T00:00:00"/>
    <x v="0"/>
    <x v="3"/>
    <x v="0"/>
    <s v="Paper"/>
    <x v="0"/>
    <x v="3"/>
    <x v="1"/>
    <n v="10"/>
    <n v="4456"/>
    <n v="44560"/>
    <n v="36148.080000000002"/>
    <n v="8411.92"/>
    <x v="1"/>
  </r>
  <r>
    <s v="ORD10663"/>
    <d v="2025-09-18T00:00:00"/>
    <x v="0"/>
    <x v="1"/>
    <x v="0"/>
    <s v="Paper"/>
    <x v="0"/>
    <x v="2"/>
    <x v="1"/>
    <n v="15"/>
    <n v="2738"/>
    <n v="41070"/>
    <n v="27196.68"/>
    <n v="13873.32"/>
    <x v="1"/>
  </r>
  <r>
    <s v="ORD10664"/>
    <d v="2024-05-05T00:00:00"/>
    <x v="1"/>
    <x v="1"/>
    <x v="1"/>
    <s v="Tablet"/>
    <x v="5"/>
    <x v="0"/>
    <x v="1"/>
    <n v="10"/>
    <n v="2314"/>
    <n v="23140"/>
    <n v="19606.55"/>
    <n v="3533.45"/>
    <x v="0"/>
  </r>
  <r>
    <s v="ORD10665"/>
    <d v="2025-05-14T00:00:00"/>
    <x v="2"/>
    <x v="3"/>
    <x v="0"/>
    <s v="Pen"/>
    <x v="8"/>
    <x v="6"/>
    <x v="0"/>
    <n v="11"/>
    <n v="3607"/>
    <n v="39677"/>
    <n v="23774.68"/>
    <n v="15902.32"/>
    <x v="1"/>
  </r>
  <r>
    <s v="ORD10666"/>
    <d v="2025-11-03T00:00:00"/>
    <x v="0"/>
    <x v="4"/>
    <x v="2"/>
    <s v="Chair"/>
    <x v="7"/>
    <x v="2"/>
    <x v="1"/>
    <n v="6"/>
    <n v="3112"/>
    <n v="18672"/>
    <n v="13531.43"/>
    <n v="5140.57"/>
    <x v="1"/>
  </r>
  <r>
    <s v="ORD10667"/>
    <d v="2024-09-26T00:00:00"/>
    <x v="2"/>
    <x v="1"/>
    <x v="2"/>
    <s v="Chair"/>
    <x v="7"/>
    <x v="6"/>
    <x v="1"/>
    <n v="16"/>
    <n v="2104"/>
    <n v="33664"/>
    <n v="21298.86"/>
    <n v="12365.14"/>
    <x v="0"/>
  </r>
  <r>
    <s v="ORD10668"/>
    <d v="2025-08-13T00:00:00"/>
    <x v="3"/>
    <x v="0"/>
    <x v="0"/>
    <s v="Pen"/>
    <x v="8"/>
    <x v="7"/>
    <x v="0"/>
    <n v="11"/>
    <n v="845"/>
    <n v="9295"/>
    <n v="5415.04"/>
    <n v="3879.96"/>
    <x v="1"/>
  </r>
  <r>
    <s v="ORD10669"/>
    <d v="2024-04-07T00:00:00"/>
    <x v="3"/>
    <x v="0"/>
    <x v="2"/>
    <s v="Desk"/>
    <x v="6"/>
    <x v="3"/>
    <x v="1"/>
    <n v="5"/>
    <n v="1739"/>
    <n v="8695"/>
    <n v="7022.5"/>
    <n v="1672.5"/>
    <x v="0"/>
  </r>
  <r>
    <s v="ORD10670"/>
    <d v="2024-04-14T00:00:00"/>
    <x v="2"/>
    <x v="0"/>
    <x v="1"/>
    <s v="Tablet"/>
    <x v="5"/>
    <x v="3"/>
    <x v="1"/>
    <n v="8"/>
    <n v="981"/>
    <n v="7848"/>
    <n v="4575.8"/>
    <n v="3272.2"/>
    <x v="0"/>
  </r>
  <r>
    <s v="ORD10671"/>
    <d v="2024-01-31T00:00:00"/>
    <x v="0"/>
    <x v="1"/>
    <x v="0"/>
    <s v="Printer Ink"/>
    <x v="4"/>
    <x v="1"/>
    <x v="0"/>
    <n v="13"/>
    <n v="2718"/>
    <n v="35334"/>
    <n v="20809.95"/>
    <n v="14524.05"/>
    <x v="0"/>
  </r>
  <r>
    <s v="ORD10672"/>
    <d v="2025-04-16T00:00:00"/>
    <x v="0"/>
    <x v="0"/>
    <x v="1"/>
    <s v="Tablet"/>
    <x v="5"/>
    <x v="1"/>
    <x v="1"/>
    <n v="9"/>
    <n v="2475"/>
    <n v="22275"/>
    <n v="18161.080000000002"/>
    <n v="4113.92"/>
    <x v="1"/>
  </r>
  <r>
    <s v="ORD10673"/>
    <d v="2024-12-13T00:00:00"/>
    <x v="0"/>
    <x v="4"/>
    <x v="0"/>
    <s v="Paper"/>
    <x v="0"/>
    <x v="5"/>
    <x v="0"/>
    <n v="14"/>
    <n v="1879"/>
    <n v="26306"/>
    <n v="21743.83"/>
    <n v="4562.17"/>
    <x v="0"/>
  </r>
  <r>
    <s v="ORD10674"/>
    <d v="2024-08-22T00:00:00"/>
    <x v="1"/>
    <x v="4"/>
    <x v="1"/>
    <s v="Laptop"/>
    <x v="1"/>
    <x v="5"/>
    <x v="0"/>
    <n v="1"/>
    <n v="4069"/>
    <n v="4069"/>
    <n v="2248.39"/>
    <n v="1820.61"/>
    <x v="0"/>
  </r>
  <r>
    <s v="ORD10675"/>
    <d v="2024-07-19T00:00:00"/>
    <x v="3"/>
    <x v="4"/>
    <x v="2"/>
    <s v="Desk"/>
    <x v="6"/>
    <x v="3"/>
    <x v="0"/>
    <n v="13"/>
    <n v="3472"/>
    <n v="45136"/>
    <n v="27842.400000000001"/>
    <n v="17293.599999999999"/>
    <x v="0"/>
  </r>
  <r>
    <s v="ORD10676"/>
    <d v="2025-09-11T00:00:00"/>
    <x v="1"/>
    <x v="4"/>
    <x v="2"/>
    <s v="Chair"/>
    <x v="7"/>
    <x v="7"/>
    <x v="1"/>
    <n v="17"/>
    <n v="2470"/>
    <n v="41990"/>
    <n v="30755.71"/>
    <n v="11234.29"/>
    <x v="1"/>
  </r>
  <r>
    <s v="ORD10677"/>
    <d v="2024-06-05T00:00:00"/>
    <x v="3"/>
    <x v="5"/>
    <x v="0"/>
    <s v="Pen"/>
    <x v="8"/>
    <x v="1"/>
    <x v="0"/>
    <n v="10"/>
    <n v="4879"/>
    <n v="48790"/>
    <n v="30484.85"/>
    <n v="18305.150000000001"/>
    <x v="0"/>
  </r>
  <r>
    <s v="ORD10678"/>
    <d v="2025-10-22T00:00:00"/>
    <x v="2"/>
    <x v="2"/>
    <x v="1"/>
    <s v="Laptop"/>
    <x v="1"/>
    <x v="4"/>
    <x v="0"/>
    <n v="10"/>
    <n v="2440"/>
    <n v="24400"/>
    <n v="20305.18"/>
    <n v="4094.82"/>
    <x v="1"/>
  </r>
  <r>
    <s v="ORD10679"/>
    <d v="2025-05-29T00:00:00"/>
    <x v="1"/>
    <x v="4"/>
    <x v="2"/>
    <s v="Chair"/>
    <x v="7"/>
    <x v="3"/>
    <x v="0"/>
    <n v="5"/>
    <n v="537"/>
    <n v="2685"/>
    <n v="1930.76"/>
    <n v="754.24"/>
    <x v="1"/>
  </r>
  <r>
    <s v="ORD10680"/>
    <d v="2024-11-22T00:00:00"/>
    <x v="0"/>
    <x v="4"/>
    <x v="1"/>
    <s v="Tablet"/>
    <x v="5"/>
    <x v="0"/>
    <x v="1"/>
    <n v="4"/>
    <n v="4355"/>
    <n v="17420"/>
    <n v="10134.1"/>
    <n v="7285.9"/>
    <x v="0"/>
  </r>
  <r>
    <s v="ORD10681"/>
    <d v="2024-04-23T00:00:00"/>
    <x v="3"/>
    <x v="0"/>
    <x v="0"/>
    <s v="Printer Ink"/>
    <x v="4"/>
    <x v="6"/>
    <x v="0"/>
    <n v="17"/>
    <n v="1873"/>
    <n v="31841"/>
    <n v="23812.47"/>
    <n v="8028.53"/>
    <x v="0"/>
  </r>
  <r>
    <s v="ORD10682"/>
    <d v="2024-01-08T00:00:00"/>
    <x v="2"/>
    <x v="5"/>
    <x v="1"/>
    <s v="Laptop"/>
    <x v="1"/>
    <x v="7"/>
    <x v="0"/>
    <n v="16"/>
    <n v="3363"/>
    <n v="53808"/>
    <n v="41402.83"/>
    <n v="12405.17"/>
    <x v="0"/>
  </r>
  <r>
    <s v="ORD10683"/>
    <d v="2025-11-27T00:00:00"/>
    <x v="3"/>
    <x v="3"/>
    <x v="0"/>
    <s v="Paper"/>
    <x v="0"/>
    <x v="4"/>
    <x v="1"/>
    <n v="4"/>
    <n v="2580"/>
    <n v="10320"/>
    <n v="7455.85"/>
    <n v="2864.15"/>
    <x v="1"/>
  </r>
  <r>
    <s v="ORD10684"/>
    <d v="2025-03-03T00:00:00"/>
    <x v="3"/>
    <x v="2"/>
    <x v="0"/>
    <s v="Pen"/>
    <x v="8"/>
    <x v="1"/>
    <x v="1"/>
    <n v="4"/>
    <n v="4070"/>
    <n v="16280"/>
    <n v="10428.379999999999"/>
    <n v="5851.62"/>
    <x v="1"/>
  </r>
  <r>
    <s v="ORD10685"/>
    <d v="2025-03-13T00:00:00"/>
    <x v="3"/>
    <x v="5"/>
    <x v="0"/>
    <s v="Pen"/>
    <x v="8"/>
    <x v="6"/>
    <x v="0"/>
    <n v="9"/>
    <n v="1024"/>
    <n v="9216"/>
    <n v="5393.93"/>
    <n v="3822.07"/>
    <x v="1"/>
  </r>
  <r>
    <s v="ORD10686"/>
    <d v="2025-01-12T00:00:00"/>
    <x v="3"/>
    <x v="5"/>
    <x v="2"/>
    <s v="Desk"/>
    <x v="6"/>
    <x v="6"/>
    <x v="1"/>
    <n v="1"/>
    <n v="3867"/>
    <n v="3867"/>
    <n v="3070.3"/>
    <n v="796.7"/>
    <x v="1"/>
  </r>
  <r>
    <s v="ORD10687"/>
    <d v="2024-05-03T00:00:00"/>
    <x v="1"/>
    <x v="4"/>
    <x v="2"/>
    <s v="Cabinet"/>
    <x v="3"/>
    <x v="7"/>
    <x v="0"/>
    <n v="20"/>
    <n v="4925"/>
    <n v="98500"/>
    <n v="76371.850000000006"/>
    <n v="22128.15"/>
    <x v="0"/>
  </r>
  <r>
    <s v="ORD10688"/>
    <d v="2025-10-05T00:00:00"/>
    <x v="2"/>
    <x v="1"/>
    <x v="0"/>
    <s v="Printer Ink"/>
    <x v="4"/>
    <x v="6"/>
    <x v="0"/>
    <n v="15"/>
    <n v="2036"/>
    <n v="30540"/>
    <n v="17184.52"/>
    <n v="13355.48"/>
    <x v="1"/>
  </r>
  <r>
    <s v="ORD10689"/>
    <d v="2024-02-24T00:00:00"/>
    <x v="0"/>
    <x v="0"/>
    <x v="1"/>
    <s v="Phone"/>
    <x v="2"/>
    <x v="0"/>
    <x v="1"/>
    <n v="1"/>
    <n v="754"/>
    <n v="754"/>
    <n v="494.5"/>
    <n v="259.5"/>
    <x v="0"/>
  </r>
  <r>
    <s v="ORD10690"/>
    <d v="2025-05-30T00:00:00"/>
    <x v="0"/>
    <x v="4"/>
    <x v="0"/>
    <s v="Printer Ink"/>
    <x v="4"/>
    <x v="0"/>
    <x v="0"/>
    <n v="5"/>
    <n v="4703"/>
    <n v="23515"/>
    <n v="14812.84"/>
    <n v="8702.16"/>
    <x v="1"/>
  </r>
  <r>
    <s v="ORD10691"/>
    <d v="2024-11-07T00:00:00"/>
    <x v="3"/>
    <x v="0"/>
    <x v="1"/>
    <s v="Laptop"/>
    <x v="1"/>
    <x v="2"/>
    <x v="0"/>
    <n v="6"/>
    <n v="2620"/>
    <n v="15720"/>
    <n v="10034.719999999999"/>
    <n v="5685.28"/>
    <x v="0"/>
  </r>
  <r>
    <s v="ORD10692"/>
    <d v="2024-07-04T00:00:00"/>
    <x v="3"/>
    <x v="1"/>
    <x v="1"/>
    <s v="Laptop"/>
    <x v="1"/>
    <x v="4"/>
    <x v="0"/>
    <n v="15"/>
    <n v="2669"/>
    <n v="40035"/>
    <n v="26943.94"/>
    <n v="13091.06"/>
    <x v="0"/>
  </r>
  <r>
    <s v="ORD10693"/>
    <d v="2025-09-13T00:00:00"/>
    <x v="0"/>
    <x v="0"/>
    <x v="0"/>
    <s v="Pen"/>
    <x v="8"/>
    <x v="2"/>
    <x v="1"/>
    <n v="8"/>
    <n v="1492"/>
    <n v="11936"/>
    <n v="8641.24"/>
    <n v="3294.76"/>
    <x v="1"/>
  </r>
  <r>
    <s v="ORD10694"/>
    <d v="2025-06-07T00:00:00"/>
    <x v="0"/>
    <x v="0"/>
    <x v="0"/>
    <s v="Printer Ink"/>
    <x v="4"/>
    <x v="0"/>
    <x v="1"/>
    <n v="4"/>
    <n v="179"/>
    <n v="716"/>
    <n v="517.46"/>
    <n v="198.54"/>
    <x v="1"/>
  </r>
  <r>
    <s v="ORD10695"/>
    <d v="2025-01-24T00:00:00"/>
    <x v="1"/>
    <x v="4"/>
    <x v="1"/>
    <s v="Phone"/>
    <x v="2"/>
    <x v="4"/>
    <x v="0"/>
    <n v="1"/>
    <n v="2532"/>
    <n v="2532"/>
    <n v="1473.3"/>
    <n v="1058.7"/>
    <x v="1"/>
  </r>
  <r>
    <s v="ORD10696"/>
    <d v="2025-12-07T00:00:00"/>
    <x v="3"/>
    <x v="5"/>
    <x v="0"/>
    <s v="Paper"/>
    <x v="0"/>
    <x v="0"/>
    <x v="1"/>
    <n v="7"/>
    <n v="4348"/>
    <n v="30436"/>
    <n v="22701.03"/>
    <n v="7734.97"/>
    <x v="1"/>
  </r>
  <r>
    <s v="ORD10697"/>
    <d v="2024-07-04T00:00:00"/>
    <x v="0"/>
    <x v="1"/>
    <x v="0"/>
    <s v="Paper"/>
    <x v="0"/>
    <x v="7"/>
    <x v="0"/>
    <n v="14"/>
    <n v="3708"/>
    <n v="51912"/>
    <n v="36693.910000000003"/>
    <n v="15218.09"/>
    <x v="0"/>
  </r>
  <r>
    <s v="ORD10698"/>
    <d v="2024-01-06T00:00:00"/>
    <x v="1"/>
    <x v="2"/>
    <x v="1"/>
    <s v="Phone"/>
    <x v="2"/>
    <x v="7"/>
    <x v="0"/>
    <n v="15"/>
    <n v="3329"/>
    <n v="49935"/>
    <n v="39654.33"/>
    <n v="10280.67"/>
    <x v="0"/>
  </r>
  <r>
    <s v="ORD10699"/>
    <d v="2024-09-13T00:00:00"/>
    <x v="0"/>
    <x v="1"/>
    <x v="1"/>
    <s v="Laptop"/>
    <x v="1"/>
    <x v="5"/>
    <x v="1"/>
    <n v="19"/>
    <n v="4782"/>
    <n v="90858"/>
    <n v="65922.59"/>
    <n v="24935.41"/>
    <x v="0"/>
  </r>
  <r>
    <s v="ORD10700"/>
    <d v="2024-02-10T00:00:00"/>
    <x v="2"/>
    <x v="3"/>
    <x v="0"/>
    <s v="Paper"/>
    <x v="0"/>
    <x v="0"/>
    <x v="1"/>
    <n v="2"/>
    <n v="362"/>
    <n v="724"/>
    <n v="604.99"/>
    <n v="119.01"/>
    <x v="0"/>
  </r>
  <r>
    <s v="ORD10701"/>
    <d v="2025-07-26T00:00:00"/>
    <x v="0"/>
    <x v="3"/>
    <x v="0"/>
    <s v="Printer Ink"/>
    <x v="4"/>
    <x v="3"/>
    <x v="1"/>
    <n v="18"/>
    <n v="3491"/>
    <n v="62838"/>
    <n v="48079.95"/>
    <n v="14758.05"/>
    <x v="1"/>
  </r>
  <r>
    <s v="ORD10702"/>
    <d v="2025-05-18T00:00:00"/>
    <x v="1"/>
    <x v="0"/>
    <x v="2"/>
    <s v="Chair"/>
    <x v="7"/>
    <x v="0"/>
    <x v="1"/>
    <n v="8"/>
    <n v="108"/>
    <n v="864"/>
    <n v="609.48"/>
    <n v="254.52"/>
    <x v="1"/>
  </r>
  <r>
    <s v="ORD10703"/>
    <d v="2025-07-03T00:00:00"/>
    <x v="1"/>
    <x v="1"/>
    <x v="1"/>
    <s v="Laptop"/>
    <x v="1"/>
    <x v="4"/>
    <x v="1"/>
    <n v="6"/>
    <n v="3010"/>
    <n v="18060"/>
    <n v="13870.82"/>
    <n v="4189.18"/>
    <x v="1"/>
  </r>
  <r>
    <s v="ORD10704"/>
    <d v="2024-05-16T00:00:00"/>
    <x v="3"/>
    <x v="4"/>
    <x v="1"/>
    <s v="Phone"/>
    <x v="2"/>
    <x v="4"/>
    <x v="1"/>
    <n v="8"/>
    <n v="2384"/>
    <n v="19072"/>
    <n v="12020.17"/>
    <n v="7051.83"/>
    <x v="0"/>
  </r>
  <r>
    <s v="ORD10705"/>
    <d v="2024-05-06T00:00:00"/>
    <x v="3"/>
    <x v="2"/>
    <x v="1"/>
    <s v="Laptop"/>
    <x v="1"/>
    <x v="5"/>
    <x v="1"/>
    <n v="14"/>
    <n v="4591"/>
    <n v="64274"/>
    <n v="47423.32"/>
    <n v="16850.68"/>
    <x v="0"/>
  </r>
  <r>
    <s v="ORD10706"/>
    <d v="2024-03-28T00:00:00"/>
    <x v="3"/>
    <x v="1"/>
    <x v="0"/>
    <s v="Paper"/>
    <x v="0"/>
    <x v="3"/>
    <x v="1"/>
    <n v="13"/>
    <n v="3434"/>
    <n v="44642"/>
    <n v="29440.44"/>
    <n v="15201.56"/>
    <x v="0"/>
  </r>
  <r>
    <s v="ORD10707"/>
    <d v="2024-04-28T00:00:00"/>
    <x v="1"/>
    <x v="5"/>
    <x v="1"/>
    <s v="Laptop"/>
    <x v="1"/>
    <x v="1"/>
    <x v="1"/>
    <n v="11"/>
    <n v="2334"/>
    <n v="25674"/>
    <n v="16985.12"/>
    <n v="8688.8799999999992"/>
    <x v="0"/>
  </r>
  <r>
    <s v="ORD10708"/>
    <d v="2024-07-10T00:00:00"/>
    <x v="0"/>
    <x v="1"/>
    <x v="2"/>
    <s v="Desk"/>
    <x v="6"/>
    <x v="3"/>
    <x v="0"/>
    <n v="18"/>
    <n v="1916"/>
    <n v="34488"/>
    <n v="24428.19"/>
    <n v="10059.81"/>
    <x v="0"/>
  </r>
  <r>
    <s v="ORD10709"/>
    <d v="2024-12-03T00:00:00"/>
    <x v="2"/>
    <x v="4"/>
    <x v="1"/>
    <s v="Tablet"/>
    <x v="5"/>
    <x v="3"/>
    <x v="1"/>
    <n v="18"/>
    <n v="3856"/>
    <n v="69408"/>
    <n v="49902.98"/>
    <n v="19505.02"/>
    <x v="0"/>
  </r>
  <r>
    <s v="ORD10710"/>
    <d v="2024-05-22T00:00:00"/>
    <x v="3"/>
    <x v="2"/>
    <x v="2"/>
    <s v="Desk"/>
    <x v="6"/>
    <x v="5"/>
    <x v="1"/>
    <n v="2"/>
    <n v="1087"/>
    <n v="2174"/>
    <n v="1485.69"/>
    <n v="688.31"/>
    <x v="0"/>
  </r>
  <r>
    <s v="ORD10711"/>
    <d v="2024-09-21T00:00:00"/>
    <x v="3"/>
    <x v="2"/>
    <x v="1"/>
    <s v="Laptop"/>
    <x v="1"/>
    <x v="3"/>
    <x v="1"/>
    <n v="6"/>
    <n v="795"/>
    <n v="4770"/>
    <n v="3325.91"/>
    <n v="1444.09"/>
    <x v="0"/>
  </r>
  <r>
    <s v="ORD10712"/>
    <d v="2024-06-13T00:00:00"/>
    <x v="3"/>
    <x v="1"/>
    <x v="1"/>
    <s v="Laptop"/>
    <x v="1"/>
    <x v="2"/>
    <x v="1"/>
    <n v="16"/>
    <n v="4891"/>
    <n v="78256"/>
    <n v="58074.77"/>
    <n v="20181.23"/>
    <x v="0"/>
  </r>
  <r>
    <s v="ORD10713"/>
    <d v="2024-06-12T00:00:00"/>
    <x v="1"/>
    <x v="5"/>
    <x v="2"/>
    <s v="Cabinet"/>
    <x v="3"/>
    <x v="1"/>
    <x v="0"/>
    <n v="1"/>
    <n v="4020"/>
    <n v="4020"/>
    <n v="3264.74"/>
    <n v="755.26"/>
    <x v="0"/>
  </r>
  <r>
    <s v="ORD10714"/>
    <d v="2025-04-18T00:00:00"/>
    <x v="2"/>
    <x v="2"/>
    <x v="2"/>
    <s v="Chair"/>
    <x v="7"/>
    <x v="0"/>
    <x v="1"/>
    <n v="17"/>
    <n v="2798"/>
    <n v="47566"/>
    <n v="30210.02"/>
    <n v="17355.98"/>
    <x v="1"/>
  </r>
  <r>
    <s v="ORD10715"/>
    <d v="2025-01-28T00:00:00"/>
    <x v="3"/>
    <x v="1"/>
    <x v="0"/>
    <s v="Paper"/>
    <x v="0"/>
    <x v="0"/>
    <x v="1"/>
    <n v="6"/>
    <n v="597"/>
    <n v="3582"/>
    <n v="2234.75"/>
    <n v="1347.25"/>
    <x v="1"/>
  </r>
  <r>
    <s v="ORD10716"/>
    <d v="2024-02-23T00:00:00"/>
    <x v="0"/>
    <x v="1"/>
    <x v="0"/>
    <s v="Paper"/>
    <x v="0"/>
    <x v="0"/>
    <x v="0"/>
    <n v="16"/>
    <n v="983"/>
    <n v="15728"/>
    <n v="10745.68"/>
    <n v="4982.32"/>
    <x v="0"/>
  </r>
  <r>
    <s v="ORD10717"/>
    <d v="2025-02-12T00:00:00"/>
    <x v="0"/>
    <x v="4"/>
    <x v="1"/>
    <s v="Laptop"/>
    <x v="1"/>
    <x v="3"/>
    <x v="0"/>
    <n v="13"/>
    <n v="3973"/>
    <n v="51649"/>
    <n v="31823.95"/>
    <n v="19825.05"/>
    <x v="1"/>
  </r>
  <r>
    <s v="ORD10718"/>
    <d v="2025-10-29T00:00:00"/>
    <x v="1"/>
    <x v="5"/>
    <x v="2"/>
    <s v="Desk"/>
    <x v="6"/>
    <x v="2"/>
    <x v="0"/>
    <n v="19"/>
    <n v="1406"/>
    <n v="26714"/>
    <n v="21661.46"/>
    <n v="5052.54"/>
    <x v="1"/>
  </r>
  <r>
    <s v="ORD10719"/>
    <d v="2024-11-27T00:00:00"/>
    <x v="3"/>
    <x v="5"/>
    <x v="1"/>
    <s v="Phone"/>
    <x v="2"/>
    <x v="2"/>
    <x v="1"/>
    <n v="9"/>
    <n v="4315"/>
    <n v="38835"/>
    <n v="32609.09"/>
    <n v="6225.91"/>
    <x v="0"/>
  </r>
  <r>
    <s v="ORD10720"/>
    <d v="2025-07-10T00:00:00"/>
    <x v="0"/>
    <x v="4"/>
    <x v="0"/>
    <s v="Paper"/>
    <x v="0"/>
    <x v="2"/>
    <x v="1"/>
    <n v="6"/>
    <n v="3064"/>
    <n v="18384"/>
    <n v="14453.24"/>
    <n v="3930.76"/>
    <x v="1"/>
  </r>
  <r>
    <s v="ORD10721"/>
    <d v="2024-07-05T00:00:00"/>
    <x v="1"/>
    <x v="1"/>
    <x v="2"/>
    <s v="Cabinet"/>
    <x v="3"/>
    <x v="1"/>
    <x v="1"/>
    <n v="9"/>
    <n v="4501"/>
    <n v="40509"/>
    <n v="30631.67"/>
    <n v="9877.33"/>
    <x v="0"/>
  </r>
  <r>
    <s v="ORD10722"/>
    <d v="2024-11-25T00:00:00"/>
    <x v="0"/>
    <x v="3"/>
    <x v="2"/>
    <s v="Chair"/>
    <x v="7"/>
    <x v="2"/>
    <x v="0"/>
    <n v="8"/>
    <n v="1042"/>
    <n v="8336"/>
    <n v="5350.6"/>
    <n v="2985.4"/>
    <x v="0"/>
  </r>
  <r>
    <s v="ORD10723"/>
    <d v="2025-08-26T00:00:00"/>
    <x v="0"/>
    <x v="0"/>
    <x v="0"/>
    <s v="Paper"/>
    <x v="0"/>
    <x v="4"/>
    <x v="1"/>
    <n v="7"/>
    <n v="2855"/>
    <n v="19985"/>
    <n v="15776.41"/>
    <n v="4208.59"/>
    <x v="1"/>
  </r>
  <r>
    <s v="ORD10724"/>
    <d v="2024-11-09T00:00:00"/>
    <x v="0"/>
    <x v="1"/>
    <x v="0"/>
    <s v="Pen"/>
    <x v="8"/>
    <x v="4"/>
    <x v="0"/>
    <n v="6"/>
    <n v="4781"/>
    <n v="28686"/>
    <n v="20297.509999999998"/>
    <n v="8388.49"/>
    <x v="0"/>
  </r>
  <r>
    <s v="ORD10725"/>
    <d v="2025-05-12T00:00:00"/>
    <x v="0"/>
    <x v="5"/>
    <x v="1"/>
    <s v="Phone"/>
    <x v="2"/>
    <x v="0"/>
    <x v="1"/>
    <n v="12"/>
    <n v="2089"/>
    <n v="25068"/>
    <n v="16971.3"/>
    <n v="8096.7"/>
    <x v="1"/>
  </r>
  <r>
    <s v="ORD10726"/>
    <d v="2025-04-05T00:00:00"/>
    <x v="3"/>
    <x v="4"/>
    <x v="1"/>
    <s v="Tablet"/>
    <x v="5"/>
    <x v="3"/>
    <x v="0"/>
    <n v="19"/>
    <n v="1537"/>
    <n v="29203"/>
    <n v="20494.36"/>
    <n v="8708.64"/>
    <x v="1"/>
  </r>
  <r>
    <s v="ORD10727"/>
    <d v="2025-07-10T00:00:00"/>
    <x v="0"/>
    <x v="4"/>
    <x v="1"/>
    <s v="Tablet"/>
    <x v="5"/>
    <x v="2"/>
    <x v="0"/>
    <n v="17"/>
    <n v="2939"/>
    <n v="49963"/>
    <n v="41743.599999999999"/>
    <n v="8219.4"/>
    <x v="1"/>
  </r>
  <r>
    <s v="ORD10728"/>
    <d v="2024-05-31T00:00:00"/>
    <x v="3"/>
    <x v="3"/>
    <x v="0"/>
    <s v="Paper"/>
    <x v="0"/>
    <x v="3"/>
    <x v="1"/>
    <n v="9"/>
    <n v="3497"/>
    <n v="31473"/>
    <n v="25179.48"/>
    <n v="6293.52"/>
    <x v="0"/>
  </r>
  <r>
    <s v="ORD10729"/>
    <d v="2024-01-13T00:00:00"/>
    <x v="2"/>
    <x v="2"/>
    <x v="1"/>
    <s v="Phone"/>
    <x v="2"/>
    <x v="1"/>
    <x v="1"/>
    <n v="14"/>
    <n v="3025"/>
    <n v="42350"/>
    <n v="25474.76"/>
    <n v="16875.240000000002"/>
    <x v="0"/>
  </r>
  <r>
    <s v="ORD10730"/>
    <d v="2024-04-18T00:00:00"/>
    <x v="1"/>
    <x v="5"/>
    <x v="1"/>
    <s v="Laptop"/>
    <x v="1"/>
    <x v="5"/>
    <x v="0"/>
    <n v="10"/>
    <n v="1525"/>
    <n v="15250"/>
    <n v="9408.4"/>
    <n v="5841.6"/>
    <x v="0"/>
  </r>
  <r>
    <s v="ORD10731"/>
    <d v="2024-10-15T00:00:00"/>
    <x v="3"/>
    <x v="1"/>
    <x v="1"/>
    <s v="Tablet"/>
    <x v="5"/>
    <x v="7"/>
    <x v="1"/>
    <n v="9"/>
    <n v="4205"/>
    <n v="37845"/>
    <n v="25031.16"/>
    <n v="12813.84"/>
    <x v="0"/>
  </r>
  <r>
    <s v="ORD10732"/>
    <d v="2024-01-20T00:00:00"/>
    <x v="0"/>
    <x v="4"/>
    <x v="1"/>
    <s v="Tablet"/>
    <x v="5"/>
    <x v="5"/>
    <x v="1"/>
    <n v="19"/>
    <n v="239"/>
    <n v="4541"/>
    <n v="3604.1"/>
    <n v="936.9"/>
    <x v="0"/>
  </r>
  <r>
    <s v="ORD10733"/>
    <d v="2024-02-17T00:00:00"/>
    <x v="3"/>
    <x v="1"/>
    <x v="2"/>
    <s v="Desk"/>
    <x v="6"/>
    <x v="7"/>
    <x v="1"/>
    <n v="13"/>
    <n v="2227"/>
    <n v="28951"/>
    <n v="17985.41"/>
    <n v="10965.59"/>
    <x v="0"/>
  </r>
  <r>
    <s v="ORD10734"/>
    <d v="2024-05-28T00:00:00"/>
    <x v="0"/>
    <x v="2"/>
    <x v="0"/>
    <s v="Paper"/>
    <x v="0"/>
    <x v="1"/>
    <x v="1"/>
    <n v="13"/>
    <n v="402"/>
    <n v="5226"/>
    <n v="3991.75"/>
    <n v="1234.25"/>
    <x v="0"/>
  </r>
  <r>
    <s v="ORD10735"/>
    <d v="2025-10-07T00:00:00"/>
    <x v="1"/>
    <x v="2"/>
    <x v="1"/>
    <s v="Laptop"/>
    <x v="1"/>
    <x v="5"/>
    <x v="0"/>
    <n v="5"/>
    <n v="4187"/>
    <n v="20935"/>
    <n v="15418.04"/>
    <n v="5516.96"/>
    <x v="1"/>
  </r>
  <r>
    <s v="ORD10736"/>
    <d v="2024-07-31T00:00:00"/>
    <x v="3"/>
    <x v="4"/>
    <x v="0"/>
    <s v="Pen"/>
    <x v="8"/>
    <x v="7"/>
    <x v="0"/>
    <n v="11"/>
    <n v="391"/>
    <n v="4301"/>
    <n v="3568.53"/>
    <n v="732.47"/>
    <x v="0"/>
  </r>
  <r>
    <s v="ORD10737"/>
    <d v="2024-02-14T00:00:00"/>
    <x v="3"/>
    <x v="4"/>
    <x v="0"/>
    <s v="Paper"/>
    <x v="0"/>
    <x v="7"/>
    <x v="1"/>
    <n v="17"/>
    <n v="641"/>
    <n v="10897"/>
    <n v="8736.48"/>
    <n v="2160.52"/>
    <x v="0"/>
  </r>
  <r>
    <s v="ORD10738"/>
    <d v="2025-08-06T00:00:00"/>
    <x v="2"/>
    <x v="1"/>
    <x v="2"/>
    <s v="Chair"/>
    <x v="7"/>
    <x v="1"/>
    <x v="0"/>
    <n v="2"/>
    <n v="1227"/>
    <n v="2454"/>
    <n v="1411.62"/>
    <n v="1042.3800000000001"/>
    <x v="1"/>
  </r>
  <r>
    <s v="ORD10739"/>
    <d v="2025-07-29T00:00:00"/>
    <x v="0"/>
    <x v="5"/>
    <x v="2"/>
    <s v="Desk"/>
    <x v="6"/>
    <x v="4"/>
    <x v="1"/>
    <n v="20"/>
    <n v="1310"/>
    <n v="26200"/>
    <n v="16348.17"/>
    <n v="9851.83"/>
    <x v="1"/>
  </r>
  <r>
    <s v="ORD10740"/>
    <d v="2025-02-09T00:00:00"/>
    <x v="1"/>
    <x v="1"/>
    <x v="0"/>
    <s v="Paper"/>
    <x v="0"/>
    <x v="3"/>
    <x v="0"/>
    <n v="5"/>
    <n v="112"/>
    <n v="560"/>
    <n v="447.16"/>
    <n v="112.84"/>
    <x v="1"/>
  </r>
  <r>
    <s v="ORD10741"/>
    <d v="2024-10-11T00:00:00"/>
    <x v="0"/>
    <x v="4"/>
    <x v="2"/>
    <s v="Chair"/>
    <x v="7"/>
    <x v="3"/>
    <x v="1"/>
    <n v="12"/>
    <n v="1393"/>
    <n v="16716"/>
    <n v="13212.05"/>
    <n v="3503.95"/>
    <x v="0"/>
  </r>
  <r>
    <s v="ORD10742"/>
    <d v="2024-04-28T00:00:00"/>
    <x v="2"/>
    <x v="4"/>
    <x v="0"/>
    <s v="Pen"/>
    <x v="8"/>
    <x v="0"/>
    <x v="1"/>
    <n v="4"/>
    <n v="4003"/>
    <n v="16012"/>
    <n v="9212.66"/>
    <n v="6799.34"/>
    <x v="0"/>
  </r>
  <r>
    <s v="ORD10743"/>
    <d v="2025-12-05T00:00:00"/>
    <x v="2"/>
    <x v="2"/>
    <x v="2"/>
    <s v="Cabinet"/>
    <x v="3"/>
    <x v="4"/>
    <x v="0"/>
    <n v="17"/>
    <n v="2956"/>
    <n v="50252"/>
    <n v="37882.31"/>
    <n v="12369.69"/>
    <x v="1"/>
  </r>
  <r>
    <s v="ORD10744"/>
    <d v="2024-04-10T00:00:00"/>
    <x v="1"/>
    <x v="4"/>
    <x v="1"/>
    <s v="Tablet"/>
    <x v="5"/>
    <x v="1"/>
    <x v="0"/>
    <n v="15"/>
    <n v="161"/>
    <n v="2415"/>
    <n v="1827.71"/>
    <n v="587.29"/>
    <x v="0"/>
  </r>
  <r>
    <s v="ORD10745"/>
    <d v="2025-05-21T00:00:00"/>
    <x v="3"/>
    <x v="3"/>
    <x v="2"/>
    <s v="Desk"/>
    <x v="6"/>
    <x v="3"/>
    <x v="1"/>
    <n v="13"/>
    <n v="3343"/>
    <n v="43459"/>
    <n v="31708.21"/>
    <n v="11750.79"/>
    <x v="1"/>
  </r>
  <r>
    <s v="ORD10746"/>
    <d v="2024-11-06T00:00:00"/>
    <x v="0"/>
    <x v="4"/>
    <x v="1"/>
    <s v="Laptop"/>
    <x v="1"/>
    <x v="1"/>
    <x v="1"/>
    <n v="7"/>
    <n v="1999"/>
    <n v="13993"/>
    <n v="9881.43"/>
    <n v="4111.57"/>
    <x v="0"/>
  </r>
  <r>
    <s v="ORD10747"/>
    <d v="2025-06-29T00:00:00"/>
    <x v="0"/>
    <x v="5"/>
    <x v="0"/>
    <s v="Paper"/>
    <x v="0"/>
    <x v="3"/>
    <x v="0"/>
    <n v="4"/>
    <n v="694"/>
    <n v="2776"/>
    <n v="1884.11"/>
    <n v="891.89"/>
    <x v="1"/>
  </r>
  <r>
    <s v="ORD10748"/>
    <d v="2025-08-02T00:00:00"/>
    <x v="0"/>
    <x v="5"/>
    <x v="1"/>
    <s v="Laptop"/>
    <x v="1"/>
    <x v="7"/>
    <x v="1"/>
    <n v="13"/>
    <n v="3599"/>
    <n v="46787"/>
    <n v="30329.45"/>
    <n v="16457.55"/>
    <x v="1"/>
  </r>
  <r>
    <s v="ORD10749"/>
    <d v="2024-06-03T00:00:00"/>
    <x v="1"/>
    <x v="2"/>
    <x v="0"/>
    <s v="Paper"/>
    <x v="0"/>
    <x v="3"/>
    <x v="0"/>
    <n v="14"/>
    <n v="323"/>
    <n v="4522"/>
    <n v="2661.34"/>
    <n v="1860.66"/>
    <x v="0"/>
  </r>
  <r>
    <s v="ORD10750"/>
    <d v="2025-08-13T00:00:00"/>
    <x v="2"/>
    <x v="1"/>
    <x v="2"/>
    <s v="Chair"/>
    <x v="7"/>
    <x v="4"/>
    <x v="1"/>
    <n v="11"/>
    <n v="4005"/>
    <n v="44055"/>
    <n v="37211.370000000003"/>
    <n v="6843.63"/>
    <x v="1"/>
  </r>
  <r>
    <s v="ORD10751"/>
    <d v="2024-09-03T00:00:00"/>
    <x v="3"/>
    <x v="1"/>
    <x v="0"/>
    <s v="Paper"/>
    <x v="0"/>
    <x v="2"/>
    <x v="0"/>
    <n v="11"/>
    <n v="4661"/>
    <n v="51271"/>
    <n v="38015.040000000001"/>
    <n v="13255.96"/>
    <x v="0"/>
  </r>
  <r>
    <s v="ORD10752"/>
    <d v="2024-10-09T00:00:00"/>
    <x v="1"/>
    <x v="1"/>
    <x v="0"/>
    <s v="Pen"/>
    <x v="8"/>
    <x v="4"/>
    <x v="1"/>
    <n v="1"/>
    <n v="1221"/>
    <n v="1221"/>
    <n v="909.49"/>
    <n v="311.51"/>
    <x v="0"/>
  </r>
  <r>
    <s v="ORD10753"/>
    <d v="2025-02-03T00:00:00"/>
    <x v="3"/>
    <x v="2"/>
    <x v="1"/>
    <s v="Phone"/>
    <x v="2"/>
    <x v="7"/>
    <x v="0"/>
    <n v="2"/>
    <n v="1185"/>
    <n v="2370"/>
    <n v="1501.64"/>
    <n v="868.36"/>
    <x v="1"/>
  </r>
  <r>
    <s v="ORD10754"/>
    <d v="2025-11-13T00:00:00"/>
    <x v="2"/>
    <x v="5"/>
    <x v="0"/>
    <s v="Paper"/>
    <x v="0"/>
    <x v="4"/>
    <x v="1"/>
    <n v="15"/>
    <n v="3231"/>
    <n v="48465"/>
    <n v="36852.85"/>
    <n v="11612.15"/>
    <x v="1"/>
  </r>
  <r>
    <s v="ORD10755"/>
    <d v="2024-09-02T00:00:00"/>
    <x v="1"/>
    <x v="1"/>
    <x v="1"/>
    <s v="Laptop"/>
    <x v="1"/>
    <x v="0"/>
    <x v="0"/>
    <n v="16"/>
    <n v="837"/>
    <n v="13392"/>
    <n v="8454.6299999999992"/>
    <n v="4937.37"/>
    <x v="0"/>
  </r>
  <r>
    <s v="ORD10756"/>
    <d v="2024-10-28T00:00:00"/>
    <x v="0"/>
    <x v="2"/>
    <x v="1"/>
    <s v="Phone"/>
    <x v="2"/>
    <x v="4"/>
    <x v="0"/>
    <n v="1"/>
    <n v="3538"/>
    <n v="3538"/>
    <n v="2011.55"/>
    <n v="1526.45"/>
    <x v="0"/>
  </r>
  <r>
    <s v="ORD10757"/>
    <d v="2024-07-27T00:00:00"/>
    <x v="0"/>
    <x v="5"/>
    <x v="0"/>
    <s v="Pen"/>
    <x v="8"/>
    <x v="2"/>
    <x v="1"/>
    <n v="12"/>
    <n v="4997"/>
    <n v="59964"/>
    <n v="40825.33"/>
    <n v="19138.669999999998"/>
    <x v="0"/>
  </r>
  <r>
    <s v="ORD10758"/>
    <d v="2024-06-13T00:00:00"/>
    <x v="0"/>
    <x v="0"/>
    <x v="1"/>
    <s v="Laptop"/>
    <x v="1"/>
    <x v="7"/>
    <x v="0"/>
    <n v="9"/>
    <n v="4260"/>
    <n v="38340"/>
    <n v="28231.65"/>
    <n v="10108.35"/>
    <x v="0"/>
  </r>
  <r>
    <s v="ORD10759"/>
    <d v="2025-10-09T00:00:00"/>
    <x v="2"/>
    <x v="2"/>
    <x v="1"/>
    <s v="Laptop"/>
    <x v="1"/>
    <x v="6"/>
    <x v="1"/>
    <n v="10"/>
    <n v="4304"/>
    <n v="43040"/>
    <n v="28529.43"/>
    <n v="14510.57"/>
    <x v="1"/>
  </r>
  <r>
    <s v="ORD10760"/>
    <d v="2025-12-07T00:00:00"/>
    <x v="2"/>
    <x v="3"/>
    <x v="0"/>
    <s v="Printer Ink"/>
    <x v="4"/>
    <x v="1"/>
    <x v="0"/>
    <n v="16"/>
    <n v="4801"/>
    <n v="76816"/>
    <n v="56559.3"/>
    <n v="20256.7"/>
    <x v="1"/>
  </r>
  <r>
    <s v="ORD10761"/>
    <d v="2025-12-17T00:00:00"/>
    <x v="0"/>
    <x v="0"/>
    <x v="0"/>
    <s v="Pen"/>
    <x v="8"/>
    <x v="2"/>
    <x v="0"/>
    <n v="7"/>
    <n v="774"/>
    <n v="5418"/>
    <n v="4269.55"/>
    <n v="1148.45"/>
    <x v="1"/>
  </r>
  <r>
    <s v="ORD10762"/>
    <d v="2024-08-14T00:00:00"/>
    <x v="1"/>
    <x v="3"/>
    <x v="1"/>
    <s v="Laptop"/>
    <x v="1"/>
    <x v="7"/>
    <x v="1"/>
    <n v="18"/>
    <n v="3762"/>
    <n v="67716"/>
    <n v="51524.07"/>
    <n v="16191.93"/>
    <x v="0"/>
  </r>
  <r>
    <s v="ORD10763"/>
    <d v="2024-08-04T00:00:00"/>
    <x v="3"/>
    <x v="2"/>
    <x v="1"/>
    <s v="Phone"/>
    <x v="2"/>
    <x v="7"/>
    <x v="1"/>
    <n v="17"/>
    <n v="1221"/>
    <n v="20757"/>
    <n v="16768.25"/>
    <n v="3988.75"/>
    <x v="0"/>
  </r>
  <r>
    <s v="ORD10764"/>
    <d v="2025-11-17T00:00:00"/>
    <x v="1"/>
    <x v="4"/>
    <x v="0"/>
    <s v="Printer Ink"/>
    <x v="4"/>
    <x v="2"/>
    <x v="0"/>
    <n v="18"/>
    <n v="925"/>
    <n v="16650"/>
    <n v="12163.86"/>
    <n v="4486.1400000000003"/>
    <x v="1"/>
  </r>
  <r>
    <s v="ORD10765"/>
    <d v="2024-02-12T00:00:00"/>
    <x v="3"/>
    <x v="0"/>
    <x v="2"/>
    <s v="Chair"/>
    <x v="7"/>
    <x v="7"/>
    <x v="0"/>
    <n v="12"/>
    <n v="843"/>
    <n v="10116"/>
    <n v="6203.79"/>
    <n v="3912.21"/>
    <x v="0"/>
  </r>
  <r>
    <s v="ORD10766"/>
    <d v="2024-02-23T00:00:00"/>
    <x v="1"/>
    <x v="3"/>
    <x v="0"/>
    <s v="Pen"/>
    <x v="8"/>
    <x v="0"/>
    <x v="1"/>
    <n v="16"/>
    <n v="2374"/>
    <n v="37984"/>
    <n v="30757.82"/>
    <n v="7226.18"/>
    <x v="0"/>
  </r>
  <r>
    <s v="ORD10767"/>
    <d v="2025-07-11T00:00:00"/>
    <x v="0"/>
    <x v="2"/>
    <x v="1"/>
    <s v="Phone"/>
    <x v="2"/>
    <x v="6"/>
    <x v="1"/>
    <n v="19"/>
    <n v="4754"/>
    <n v="90326"/>
    <n v="50625.83"/>
    <n v="39700.17"/>
    <x v="1"/>
  </r>
  <r>
    <s v="ORD10768"/>
    <d v="2024-01-21T00:00:00"/>
    <x v="0"/>
    <x v="5"/>
    <x v="2"/>
    <s v="Desk"/>
    <x v="6"/>
    <x v="6"/>
    <x v="0"/>
    <n v="2"/>
    <n v="3175"/>
    <n v="6350"/>
    <n v="3717.97"/>
    <n v="2632.03"/>
    <x v="0"/>
  </r>
  <r>
    <s v="ORD10769"/>
    <d v="2024-01-15T00:00:00"/>
    <x v="1"/>
    <x v="1"/>
    <x v="1"/>
    <s v="Laptop"/>
    <x v="1"/>
    <x v="0"/>
    <x v="1"/>
    <n v="7"/>
    <n v="2109"/>
    <n v="14763"/>
    <n v="12191.33"/>
    <n v="2571.67"/>
    <x v="0"/>
  </r>
  <r>
    <s v="ORD10770"/>
    <d v="2024-02-07T00:00:00"/>
    <x v="1"/>
    <x v="1"/>
    <x v="2"/>
    <s v="Cabinet"/>
    <x v="3"/>
    <x v="4"/>
    <x v="0"/>
    <n v="17"/>
    <n v="4258"/>
    <n v="72386"/>
    <n v="57903.63"/>
    <n v="14482.37"/>
    <x v="0"/>
  </r>
  <r>
    <s v="ORD10771"/>
    <d v="2025-01-16T00:00:00"/>
    <x v="3"/>
    <x v="3"/>
    <x v="1"/>
    <s v="Tablet"/>
    <x v="5"/>
    <x v="0"/>
    <x v="1"/>
    <n v="20"/>
    <n v="4111"/>
    <n v="82220"/>
    <n v="53161.73"/>
    <n v="29058.27"/>
    <x v="1"/>
  </r>
  <r>
    <s v="ORD10772"/>
    <d v="2024-06-09T00:00:00"/>
    <x v="0"/>
    <x v="0"/>
    <x v="2"/>
    <s v="Desk"/>
    <x v="6"/>
    <x v="6"/>
    <x v="0"/>
    <n v="7"/>
    <n v="4484"/>
    <n v="31388"/>
    <n v="26346.98"/>
    <n v="5041.0200000000004"/>
    <x v="0"/>
  </r>
  <r>
    <s v="ORD10773"/>
    <d v="2025-11-25T00:00:00"/>
    <x v="3"/>
    <x v="2"/>
    <x v="2"/>
    <s v="Chair"/>
    <x v="7"/>
    <x v="1"/>
    <x v="0"/>
    <n v="3"/>
    <n v="2128"/>
    <n v="6384"/>
    <n v="4089.52"/>
    <n v="2294.48"/>
    <x v="1"/>
  </r>
  <r>
    <s v="ORD10774"/>
    <d v="2024-03-10T00:00:00"/>
    <x v="2"/>
    <x v="1"/>
    <x v="0"/>
    <s v="Paper"/>
    <x v="0"/>
    <x v="5"/>
    <x v="1"/>
    <n v="4"/>
    <n v="4331"/>
    <n v="17324"/>
    <n v="14068.47"/>
    <n v="3255.53"/>
    <x v="0"/>
  </r>
  <r>
    <s v="ORD10775"/>
    <d v="2024-10-12T00:00:00"/>
    <x v="2"/>
    <x v="2"/>
    <x v="1"/>
    <s v="Tablet"/>
    <x v="5"/>
    <x v="1"/>
    <x v="1"/>
    <n v="16"/>
    <n v="4608"/>
    <n v="73728"/>
    <n v="62194.23"/>
    <n v="11533.77"/>
    <x v="0"/>
  </r>
  <r>
    <s v="ORD10776"/>
    <d v="2024-01-28T00:00:00"/>
    <x v="0"/>
    <x v="2"/>
    <x v="2"/>
    <s v="Desk"/>
    <x v="6"/>
    <x v="4"/>
    <x v="1"/>
    <n v="20"/>
    <n v="197"/>
    <n v="3940"/>
    <n v="3318.97"/>
    <n v="621.03"/>
    <x v="0"/>
  </r>
  <r>
    <s v="ORD10777"/>
    <d v="2025-05-06T00:00:00"/>
    <x v="3"/>
    <x v="3"/>
    <x v="1"/>
    <s v="Laptop"/>
    <x v="1"/>
    <x v="1"/>
    <x v="1"/>
    <n v="20"/>
    <n v="4962"/>
    <n v="99240"/>
    <n v="80934.78"/>
    <n v="18305.22"/>
    <x v="1"/>
  </r>
  <r>
    <s v="ORD10778"/>
    <d v="2024-07-27T00:00:00"/>
    <x v="0"/>
    <x v="1"/>
    <x v="0"/>
    <s v="Pen"/>
    <x v="8"/>
    <x v="2"/>
    <x v="0"/>
    <n v="12"/>
    <n v="2964"/>
    <n v="35568"/>
    <n v="23117.67"/>
    <n v="12450.33"/>
    <x v="0"/>
  </r>
  <r>
    <s v="ORD10779"/>
    <d v="2025-07-05T00:00:00"/>
    <x v="3"/>
    <x v="3"/>
    <x v="2"/>
    <s v="Chair"/>
    <x v="7"/>
    <x v="2"/>
    <x v="0"/>
    <n v="5"/>
    <n v="3270"/>
    <n v="16350"/>
    <n v="10327.209999999999"/>
    <n v="6022.79"/>
    <x v="1"/>
  </r>
  <r>
    <s v="ORD10780"/>
    <d v="2025-08-04T00:00:00"/>
    <x v="3"/>
    <x v="0"/>
    <x v="0"/>
    <s v="Pen"/>
    <x v="8"/>
    <x v="2"/>
    <x v="1"/>
    <n v="2"/>
    <n v="117"/>
    <n v="234"/>
    <n v="129.49"/>
    <n v="104.51"/>
    <x v="1"/>
  </r>
  <r>
    <s v="ORD10781"/>
    <d v="2025-04-27T00:00:00"/>
    <x v="2"/>
    <x v="1"/>
    <x v="2"/>
    <s v="Desk"/>
    <x v="6"/>
    <x v="7"/>
    <x v="0"/>
    <n v="18"/>
    <n v="2596"/>
    <n v="46728"/>
    <n v="31582.89"/>
    <n v="15145.11"/>
    <x v="1"/>
  </r>
  <r>
    <s v="ORD10782"/>
    <d v="2024-07-19T00:00:00"/>
    <x v="1"/>
    <x v="0"/>
    <x v="1"/>
    <s v="Phone"/>
    <x v="2"/>
    <x v="5"/>
    <x v="0"/>
    <n v="9"/>
    <n v="1511"/>
    <n v="13599"/>
    <n v="7770.53"/>
    <n v="5828.47"/>
    <x v="0"/>
  </r>
  <r>
    <s v="ORD10783"/>
    <d v="2024-05-12T00:00:00"/>
    <x v="2"/>
    <x v="5"/>
    <x v="1"/>
    <s v="Phone"/>
    <x v="2"/>
    <x v="1"/>
    <x v="0"/>
    <n v="17"/>
    <n v="4713"/>
    <n v="80121"/>
    <n v="49988.1"/>
    <n v="30132.9"/>
    <x v="0"/>
  </r>
  <r>
    <s v="ORD10784"/>
    <d v="2025-05-12T00:00:00"/>
    <x v="0"/>
    <x v="1"/>
    <x v="2"/>
    <s v="Chair"/>
    <x v="7"/>
    <x v="4"/>
    <x v="1"/>
    <n v="12"/>
    <n v="2421"/>
    <n v="29052"/>
    <n v="18574.740000000002"/>
    <n v="10477.26"/>
    <x v="1"/>
  </r>
  <r>
    <s v="ORD10785"/>
    <d v="2025-04-04T00:00:00"/>
    <x v="3"/>
    <x v="1"/>
    <x v="2"/>
    <s v="Desk"/>
    <x v="6"/>
    <x v="3"/>
    <x v="1"/>
    <n v="2"/>
    <n v="165"/>
    <n v="330"/>
    <n v="210.9"/>
    <n v="119.1"/>
    <x v="1"/>
  </r>
  <r>
    <s v="ORD10786"/>
    <d v="2024-04-30T00:00:00"/>
    <x v="1"/>
    <x v="0"/>
    <x v="1"/>
    <s v="Tablet"/>
    <x v="5"/>
    <x v="1"/>
    <x v="1"/>
    <n v="17"/>
    <n v="892"/>
    <n v="15164"/>
    <n v="10747.57"/>
    <n v="4416.43"/>
    <x v="0"/>
  </r>
  <r>
    <s v="ORD10787"/>
    <d v="2024-12-04T00:00:00"/>
    <x v="1"/>
    <x v="2"/>
    <x v="2"/>
    <s v="Cabinet"/>
    <x v="3"/>
    <x v="3"/>
    <x v="0"/>
    <n v="15"/>
    <n v="3381"/>
    <n v="50715"/>
    <n v="30280.55"/>
    <n v="20434.45"/>
    <x v="0"/>
  </r>
  <r>
    <s v="ORD10788"/>
    <d v="2025-09-28T00:00:00"/>
    <x v="3"/>
    <x v="3"/>
    <x v="0"/>
    <s v="Paper"/>
    <x v="0"/>
    <x v="5"/>
    <x v="0"/>
    <n v="10"/>
    <n v="654"/>
    <n v="6540"/>
    <n v="5276.45"/>
    <n v="1263.55"/>
    <x v="1"/>
  </r>
  <r>
    <s v="ORD10789"/>
    <d v="2025-02-06T00:00:00"/>
    <x v="3"/>
    <x v="3"/>
    <x v="1"/>
    <s v="Phone"/>
    <x v="2"/>
    <x v="7"/>
    <x v="1"/>
    <n v="14"/>
    <n v="1928"/>
    <n v="26992"/>
    <n v="20948.96"/>
    <n v="6043.04"/>
    <x v="1"/>
  </r>
  <r>
    <s v="ORD10790"/>
    <d v="2024-11-13T00:00:00"/>
    <x v="3"/>
    <x v="1"/>
    <x v="1"/>
    <s v="Laptop"/>
    <x v="1"/>
    <x v="5"/>
    <x v="1"/>
    <n v="5"/>
    <n v="907"/>
    <n v="4535"/>
    <n v="2924.9"/>
    <n v="1610.1"/>
    <x v="0"/>
  </r>
  <r>
    <s v="ORD10791"/>
    <d v="2025-10-19T00:00:00"/>
    <x v="2"/>
    <x v="2"/>
    <x v="2"/>
    <s v="Desk"/>
    <x v="6"/>
    <x v="4"/>
    <x v="0"/>
    <n v="15"/>
    <n v="4590"/>
    <n v="68850"/>
    <n v="55790.44"/>
    <n v="13059.56"/>
    <x v="1"/>
  </r>
  <r>
    <s v="ORD10792"/>
    <d v="2024-04-30T00:00:00"/>
    <x v="2"/>
    <x v="0"/>
    <x v="2"/>
    <s v="Cabinet"/>
    <x v="3"/>
    <x v="3"/>
    <x v="0"/>
    <n v="10"/>
    <n v="3818"/>
    <n v="38180"/>
    <n v="28550.01"/>
    <n v="9629.99"/>
    <x v="0"/>
  </r>
  <r>
    <s v="ORD10793"/>
    <d v="2024-09-23T00:00:00"/>
    <x v="1"/>
    <x v="4"/>
    <x v="1"/>
    <s v="Tablet"/>
    <x v="5"/>
    <x v="0"/>
    <x v="1"/>
    <n v="10"/>
    <n v="807"/>
    <n v="8070"/>
    <n v="6397.54"/>
    <n v="1672.46"/>
    <x v="0"/>
  </r>
  <r>
    <s v="ORD10794"/>
    <d v="2025-10-20T00:00:00"/>
    <x v="2"/>
    <x v="4"/>
    <x v="2"/>
    <s v="Desk"/>
    <x v="6"/>
    <x v="3"/>
    <x v="0"/>
    <n v="15"/>
    <n v="4415"/>
    <n v="66225"/>
    <n v="36721.82"/>
    <n v="29503.18"/>
    <x v="1"/>
  </r>
  <r>
    <s v="ORD10795"/>
    <d v="2024-05-19T00:00:00"/>
    <x v="0"/>
    <x v="1"/>
    <x v="2"/>
    <s v="Chair"/>
    <x v="7"/>
    <x v="6"/>
    <x v="0"/>
    <n v="5"/>
    <n v="907"/>
    <n v="4535"/>
    <n v="3399.44"/>
    <n v="1135.56"/>
    <x v="0"/>
  </r>
  <r>
    <s v="ORD10796"/>
    <d v="2024-10-01T00:00:00"/>
    <x v="3"/>
    <x v="1"/>
    <x v="2"/>
    <s v="Chair"/>
    <x v="7"/>
    <x v="2"/>
    <x v="1"/>
    <n v="4"/>
    <n v="2355"/>
    <n v="9420"/>
    <n v="6326.99"/>
    <n v="3093.01"/>
    <x v="0"/>
  </r>
  <r>
    <s v="ORD10797"/>
    <d v="2025-02-25T00:00:00"/>
    <x v="2"/>
    <x v="5"/>
    <x v="1"/>
    <s v="Laptop"/>
    <x v="1"/>
    <x v="0"/>
    <x v="0"/>
    <n v="6"/>
    <n v="4973"/>
    <n v="29838"/>
    <n v="20242.5"/>
    <n v="9595.5"/>
    <x v="1"/>
  </r>
  <r>
    <s v="ORD10798"/>
    <d v="2025-07-24T00:00:00"/>
    <x v="2"/>
    <x v="5"/>
    <x v="0"/>
    <s v="Pen"/>
    <x v="8"/>
    <x v="6"/>
    <x v="0"/>
    <n v="8"/>
    <n v="162"/>
    <n v="1296"/>
    <n v="800.33"/>
    <n v="495.67"/>
    <x v="1"/>
  </r>
  <r>
    <s v="ORD10799"/>
    <d v="2024-10-26T00:00:00"/>
    <x v="2"/>
    <x v="1"/>
    <x v="2"/>
    <s v="Desk"/>
    <x v="6"/>
    <x v="3"/>
    <x v="1"/>
    <n v="11"/>
    <n v="1381"/>
    <n v="15191"/>
    <n v="10175.59"/>
    <n v="5015.41"/>
    <x v="0"/>
  </r>
  <r>
    <s v="ORD10800"/>
    <d v="2025-06-20T00:00:00"/>
    <x v="3"/>
    <x v="2"/>
    <x v="0"/>
    <s v="Pen"/>
    <x v="8"/>
    <x v="5"/>
    <x v="0"/>
    <n v="1"/>
    <n v="3337"/>
    <n v="3337"/>
    <n v="2780.17"/>
    <n v="556.83000000000004"/>
    <x v="1"/>
  </r>
  <r>
    <s v="ORD10801"/>
    <d v="2024-02-06T00:00:00"/>
    <x v="1"/>
    <x v="2"/>
    <x v="1"/>
    <s v="Phone"/>
    <x v="2"/>
    <x v="7"/>
    <x v="0"/>
    <n v="11"/>
    <n v="1466"/>
    <n v="16126"/>
    <n v="12968.55"/>
    <n v="3157.45"/>
    <x v="0"/>
  </r>
  <r>
    <s v="ORD10802"/>
    <d v="2025-10-04T00:00:00"/>
    <x v="3"/>
    <x v="0"/>
    <x v="2"/>
    <s v="Chair"/>
    <x v="7"/>
    <x v="5"/>
    <x v="1"/>
    <n v="20"/>
    <n v="3004"/>
    <n v="60080"/>
    <n v="47002.400000000001"/>
    <n v="13077.6"/>
    <x v="1"/>
  </r>
  <r>
    <s v="ORD10803"/>
    <d v="2025-01-01T00:00:00"/>
    <x v="0"/>
    <x v="1"/>
    <x v="1"/>
    <s v="Laptop"/>
    <x v="1"/>
    <x v="5"/>
    <x v="0"/>
    <n v="4"/>
    <n v="3781"/>
    <n v="15124"/>
    <n v="9365.9500000000007"/>
    <n v="5758.05"/>
    <x v="1"/>
  </r>
  <r>
    <s v="ORD10804"/>
    <d v="2024-02-20T00:00:00"/>
    <x v="2"/>
    <x v="4"/>
    <x v="1"/>
    <s v="Phone"/>
    <x v="2"/>
    <x v="5"/>
    <x v="1"/>
    <n v="7"/>
    <n v="3324"/>
    <n v="23268"/>
    <n v="19394.5"/>
    <n v="3873.5"/>
    <x v="0"/>
  </r>
  <r>
    <s v="ORD10805"/>
    <d v="2025-05-17T00:00:00"/>
    <x v="3"/>
    <x v="0"/>
    <x v="1"/>
    <s v="Tablet"/>
    <x v="5"/>
    <x v="2"/>
    <x v="0"/>
    <n v="20"/>
    <n v="3515"/>
    <n v="70300"/>
    <n v="43278.5"/>
    <n v="27021.5"/>
    <x v="1"/>
  </r>
  <r>
    <s v="ORD10806"/>
    <d v="2025-03-19T00:00:00"/>
    <x v="3"/>
    <x v="3"/>
    <x v="0"/>
    <s v="Pen"/>
    <x v="8"/>
    <x v="5"/>
    <x v="1"/>
    <n v="16"/>
    <n v="4076"/>
    <n v="65216"/>
    <n v="52514.47"/>
    <n v="12701.53"/>
    <x v="1"/>
  </r>
  <r>
    <s v="ORD10807"/>
    <d v="2024-10-16T00:00:00"/>
    <x v="0"/>
    <x v="5"/>
    <x v="2"/>
    <s v="Cabinet"/>
    <x v="3"/>
    <x v="5"/>
    <x v="1"/>
    <n v="8"/>
    <n v="4046"/>
    <n v="32368"/>
    <n v="22517.02"/>
    <n v="9850.98"/>
    <x v="0"/>
  </r>
  <r>
    <s v="ORD10808"/>
    <d v="2024-11-25T00:00:00"/>
    <x v="3"/>
    <x v="5"/>
    <x v="1"/>
    <s v="Phone"/>
    <x v="2"/>
    <x v="3"/>
    <x v="1"/>
    <n v="3"/>
    <n v="2568"/>
    <n v="7704"/>
    <n v="4603.04"/>
    <n v="3100.96"/>
    <x v="0"/>
  </r>
  <r>
    <s v="ORD10809"/>
    <d v="2024-06-03T00:00:00"/>
    <x v="3"/>
    <x v="2"/>
    <x v="2"/>
    <s v="Cabinet"/>
    <x v="3"/>
    <x v="0"/>
    <x v="1"/>
    <n v="8"/>
    <n v="2478"/>
    <n v="19824"/>
    <n v="14693.55"/>
    <n v="5130.45"/>
    <x v="0"/>
  </r>
  <r>
    <s v="ORD10810"/>
    <d v="2024-04-27T00:00:00"/>
    <x v="1"/>
    <x v="5"/>
    <x v="0"/>
    <s v="Printer Ink"/>
    <x v="4"/>
    <x v="1"/>
    <x v="0"/>
    <n v="9"/>
    <n v="2698"/>
    <n v="24282"/>
    <n v="17896.28"/>
    <n v="6385.72"/>
    <x v="0"/>
  </r>
  <r>
    <s v="ORD10811"/>
    <d v="2024-01-07T00:00:00"/>
    <x v="1"/>
    <x v="3"/>
    <x v="1"/>
    <s v="Laptop"/>
    <x v="1"/>
    <x v="3"/>
    <x v="1"/>
    <n v="3"/>
    <n v="4860"/>
    <n v="14580"/>
    <n v="12145.4"/>
    <n v="2434.6"/>
    <x v="0"/>
  </r>
  <r>
    <s v="ORD10812"/>
    <d v="2025-07-02T00:00:00"/>
    <x v="2"/>
    <x v="3"/>
    <x v="1"/>
    <s v="Tablet"/>
    <x v="5"/>
    <x v="5"/>
    <x v="1"/>
    <n v="13"/>
    <n v="1074"/>
    <n v="13962"/>
    <n v="9099.59"/>
    <n v="4862.41"/>
    <x v="1"/>
  </r>
  <r>
    <s v="ORD10813"/>
    <d v="2024-02-18T00:00:00"/>
    <x v="1"/>
    <x v="1"/>
    <x v="1"/>
    <s v="Phone"/>
    <x v="2"/>
    <x v="7"/>
    <x v="1"/>
    <n v="8"/>
    <n v="3785"/>
    <n v="30280"/>
    <n v="23513.81"/>
    <n v="6766.19"/>
    <x v="0"/>
  </r>
  <r>
    <s v="ORD10814"/>
    <d v="2025-07-30T00:00:00"/>
    <x v="0"/>
    <x v="4"/>
    <x v="2"/>
    <s v="Chair"/>
    <x v="7"/>
    <x v="0"/>
    <x v="1"/>
    <n v="5"/>
    <n v="4727"/>
    <n v="23635"/>
    <n v="14997.18"/>
    <n v="8637.82"/>
    <x v="1"/>
  </r>
  <r>
    <s v="ORD10815"/>
    <d v="2024-05-25T00:00:00"/>
    <x v="3"/>
    <x v="2"/>
    <x v="2"/>
    <s v="Cabinet"/>
    <x v="3"/>
    <x v="7"/>
    <x v="1"/>
    <n v="15"/>
    <n v="4043"/>
    <n v="60645"/>
    <n v="39572.769999999997"/>
    <n v="21072.23"/>
    <x v="0"/>
  </r>
  <r>
    <s v="ORD10816"/>
    <d v="2024-11-01T00:00:00"/>
    <x v="2"/>
    <x v="5"/>
    <x v="2"/>
    <s v="Desk"/>
    <x v="6"/>
    <x v="7"/>
    <x v="1"/>
    <n v="8"/>
    <n v="4263"/>
    <n v="34104"/>
    <n v="20526.09"/>
    <n v="13577.91"/>
    <x v="0"/>
  </r>
  <r>
    <s v="ORD10817"/>
    <d v="2024-04-29T00:00:00"/>
    <x v="0"/>
    <x v="0"/>
    <x v="1"/>
    <s v="Tablet"/>
    <x v="5"/>
    <x v="6"/>
    <x v="1"/>
    <n v="8"/>
    <n v="4601"/>
    <n v="36808"/>
    <n v="23608.639999999999"/>
    <n v="13199.36"/>
    <x v="0"/>
  </r>
  <r>
    <s v="ORD10818"/>
    <d v="2024-06-19T00:00:00"/>
    <x v="3"/>
    <x v="0"/>
    <x v="0"/>
    <s v="Printer Ink"/>
    <x v="4"/>
    <x v="4"/>
    <x v="1"/>
    <n v="10"/>
    <n v="4199"/>
    <n v="41990"/>
    <n v="31095.78"/>
    <n v="10894.22"/>
    <x v="0"/>
  </r>
  <r>
    <s v="ORD10819"/>
    <d v="2024-10-17T00:00:00"/>
    <x v="3"/>
    <x v="4"/>
    <x v="2"/>
    <s v="Chair"/>
    <x v="7"/>
    <x v="0"/>
    <x v="1"/>
    <n v="18"/>
    <n v="1251"/>
    <n v="22518"/>
    <n v="13055.45"/>
    <n v="9462.5499999999993"/>
    <x v="0"/>
  </r>
  <r>
    <s v="ORD10820"/>
    <d v="2024-04-12T00:00:00"/>
    <x v="0"/>
    <x v="0"/>
    <x v="0"/>
    <s v="Printer Ink"/>
    <x v="4"/>
    <x v="1"/>
    <x v="1"/>
    <n v="2"/>
    <n v="1202"/>
    <n v="2404"/>
    <n v="1688.4"/>
    <n v="715.6"/>
    <x v="0"/>
  </r>
  <r>
    <s v="ORD10821"/>
    <d v="2024-02-22T00:00:00"/>
    <x v="2"/>
    <x v="4"/>
    <x v="2"/>
    <s v="Chair"/>
    <x v="7"/>
    <x v="7"/>
    <x v="0"/>
    <n v="16"/>
    <n v="2838"/>
    <n v="45408"/>
    <n v="35771.96"/>
    <n v="9636.0400000000009"/>
    <x v="0"/>
  </r>
  <r>
    <s v="ORD10822"/>
    <d v="2024-12-24T00:00:00"/>
    <x v="1"/>
    <x v="1"/>
    <x v="1"/>
    <s v="Laptop"/>
    <x v="1"/>
    <x v="3"/>
    <x v="1"/>
    <n v="20"/>
    <n v="1966"/>
    <n v="39320"/>
    <n v="26107.55"/>
    <n v="13212.45"/>
    <x v="0"/>
  </r>
  <r>
    <s v="ORD10823"/>
    <d v="2024-09-21T00:00:00"/>
    <x v="2"/>
    <x v="5"/>
    <x v="1"/>
    <s v="Tablet"/>
    <x v="5"/>
    <x v="5"/>
    <x v="1"/>
    <n v="17"/>
    <n v="2698"/>
    <n v="45866"/>
    <n v="30706.75"/>
    <n v="15159.25"/>
    <x v="0"/>
  </r>
  <r>
    <s v="ORD10824"/>
    <d v="2025-09-20T00:00:00"/>
    <x v="2"/>
    <x v="5"/>
    <x v="0"/>
    <s v="Pen"/>
    <x v="8"/>
    <x v="2"/>
    <x v="0"/>
    <n v="12"/>
    <n v="941"/>
    <n v="11292"/>
    <n v="7964.05"/>
    <n v="3327.95"/>
    <x v="1"/>
  </r>
  <r>
    <s v="ORD10825"/>
    <d v="2025-04-24T00:00:00"/>
    <x v="0"/>
    <x v="1"/>
    <x v="0"/>
    <s v="Printer Ink"/>
    <x v="4"/>
    <x v="2"/>
    <x v="0"/>
    <n v="18"/>
    <n v="342"/>
    <n v="6156"/>
    <n v="3964.65"/>
    <n v="2191.35"/>
    <x v="1"/>
  </r>
  <r>
    <s v="ORD10826"/>
    <d v="2024-04-09T00:00:00"/>
    <x v="3"/>
    <x v="0"/>
    <x v="2"/>
    <s v="Chair"/>
    <x v="7"/>
    <x v="5"/>
    <x v="0"/>
    <n v="11"/>
    <n v="3363"/>
    <n v="36993"/>
    <n v="20790.84"/>
    <n v="16202.16"/>
    <x v="0"/>
  </r>
  <r>
    <s v="ORD10827"/>
    <d v="2025-07-06T00:00:00"/>
    <x v="1"/>
    <x v="0"/>
    <x v="0"/>
    <s v="Paper"/>
    <x v="0"/>
    <x v="2"/>
    <x v="1"/>
    <n v="10"/>
    <n v="2791"/>
    <n v="27910"/>
    <n v="22486.92"/>
    <n v="5423.08"/>
    <x v="1"/>
  </r>
  <r>
    <s v="ORD10828"/>
    <d v="2025-12-08T00:00:00"/>
    <x v="2"/>
    <x v="0"/>
    <x v="1"/>
    <s v="Laptop"/>
    <x v="1"/>
    <x v="1"/>
    <x v="0"/>
    <n v="1"/>
    <n v="3687"/>
    <n v="3687"/>
    <n v="2686.19"/>
    <n v="1000.81"/>
    <x v="1"/>
  </r>
  <r>
    <s v="ORD10829"/>
    <d v="2025-09-28T00:00:00"/>
    <x v="0"/>
    <x v="4"/>
    <x v="2"/>
    <s v="Cabinet"/>
    <x v="3"/>
    <x v="4"/>
    <x v="0"/>
    <n v="19"/>
    <n v="3942"/>
    <n v="74898"/>
    <n v="59287.92"/>
    <n v="15610.08"/>
    <x v="1"/>
  </r>
  <r>
    <s v="ORD10830"/>
    <d v="2024-07-15T00:00:00"/>
    <x v="2"/>
    <x v="3"/>
    <x v="1"/>
    <s v="Phone"/>
    <x v="2"/>
    <x v="0"/>
    <x v="1"/>
    <n v="15"/>
    <n v="2956"/>
    <n v="44340"/>
    <n v="28608.79"/>
    <n v="15731.21"/>
    <x v="0"/>
  </r>
  <r>
    <s v="ORD10831"/>
    <d v="2024-05-23T00:00:00"/>
    <x v="2"/>
    <x v="0"/>
    <x v="1"/>
    <s v="Phone"/>
    <x v="2"/>
    <x v="1"/>
    <x v="1"/>
    <n v="4"/>
    <n v="3403"/>
    <n v="13612"/>
    <n v="11365.09"/>
    <n v="2246.91"/>
    <x v="0"/>
  </r>
  <r>
    <s v="ORD10832"/>
    <d v="2025-08-18T00:00:00"/>
    <x v="0"/>
    <x v="4"/>
    <x v="2"/>
    <s v="Chair"/>
    <x v="7"/>
    <x v="6"/>
    <x v="1"/>
    <n v="9"/>
    <n v="3071"/>
    <n v="27639"/>
    <n v="20540.03"/>
    <n v="7098.97"/>
    <x v="1"/>
  </r>
  <r>
    <s v="ORD10833"/>
    <d v="2025-10-07T00:00:00"/>
    <x v="1"/>
    <x v="4"/>
    <x v="2"/>
    <s v="Cabinet"/>
    <x v="3"/>
    <x v="2"/>
    <x v="0"/>
    <n v="8"/>
    <n v="926"/>
    <n v="7408"/>
    <n v="5724.32"/>
    <n v="1683.68"/>
    <x v="1"/>
  </r>
  <r>
    <s v="ORD10834"/>
    <d v="2024-02-10T00:00:00"/>
    <x v="2"/>
    <x v="1"/>
    <x v="2"/>
    <s v="Chair"/>
    <x v="7"/>
    <x v="1"/>
    <x v="0"/>
    <n v="3"/>
    <n v="4842"/>
    <n v="14526"/>
    <n v="10641.15"/>
    <n v="3884.85"/>
    <x v="0"/>
  </r>
  <r>
    <s v="ORD10835"/>
    <d v="2024-09-22T00:00:00"/>
    <x v="3"/>
    <x v="4"/>
    <x v="1"/>
    <s v="Laptop"/>
    <x v="1"/>
    <x v="1"/>
    <x v="1"/>
    <n v="20"/>
    <n v="4288"/>
    <n v="85760"/>
    <n v="47519.81"/>
    <n v="38240.19"/>
    <x v="0"/>
  </r>
  <r>
    <s v="ORD10836"/>
    <d v="2024-12-03T00:00:00"/>
    <x v="0"/>
    <x v="0"/>
    <x v="0"/>
    <s v="Paper"/>
    <x v="0"/>
    <x v="0"/>
    <x v="1"/>
    <n v="5"/>
    <n v="3577"/>
    <n v="17885"/>
    <n v="11517.77"/>
    <n v="6367.23"/>
    <x v="0"/>
  </r>
  <r>
    <s v="ORD10837"/>
    <d v="2025-02-12T00:00:00"/>
    <x v="0"/>
    <x v="1"/>
    <x v="2"/>
    <s v="Desk"/>
    <x v="6"/>
    <x v="3"/>
    <x v="1"/>
    <n v="15"/>
    <n v="3370"/>
    <n v="50550"/>
    <n v="35618.36"/>
    <n v="14931.64"/>
    <x v="1"/>
  </r>
  <r>
    <s v="ORD10838"/>
    <d v="2025-07-07T00:00:00"/>
    <x v="2"/>
    <x v="0"/>
    <x v="1"/>
    <s v="Laptop"/>
    <x v="1"/>
    <x v="1"/>
    <x v="0"/>
    <n v="20"/>
    <n v="4547"/>
    <n v="90940"/>
    <n v="68029.78"/>
    <n v="22910.22"/>
    <x v="1"/>
  </r>
  <r>
    <s v="ORD10839"/>
    <d v="2024-08-15T00:00:00"/>
    <x v="2"/>
    <x v="0"/>
    <x v="2"/>
    <s v="Cabinet"/>
    <x v="3"/>
    <x v="3"/>
    <x v="0"/>
    <n v="8"/>
    <n v="4913"/>
    <n v="39304"/>
    <n v="24069.02"/>
    <n v="15234.98"/>
    <x v="0"/>
  </r>
  <r>
    <s v="ORD10840"/>
    <d v="2025-02-28T00:00:00"/>
    <x v="2"/>
    <x v="5"/>
    <x v="1"/>
    <s v="Phone"/>
    <x v="2"/>
    <x v="6"/>
    <x v="0"/>
    <n v="12"/>
    <n v="2864"/>
    <n v="34368"/>
    <n v="20442.75"/>
    <n v="13925.25"/>
    <x v="1"/>
  </r>
  <r>
    <s v="ORD10841"/>
    <d v="2024-05-31T00:00:00"/>
    <x v="1"/>
    <x v="4"/>
    <x v="2"/>
    <s v="Cabinet"/>
    <x v="3"/>
    <x v="4"/>
    <x v="1"/>
    <n v="18"/>
    <n v="3458"/>
    <n v="62244"/>
    <n v="48103.7"/>
    <n v="14140.3"/>
    <x v="0"/>
  </r>
  <r>
    <s v="ORD10842"/>
    <d v="2024-06-06T00:00:00"/>
    <x v="3"/>
    <x v="1"/>
    <x v="2"/>
    <s v="Desk"/>
    <x v="6"/>
    <x v="7"/>
    <x v="1"/>
    <n v="13"/>
    <n v="3425"/>
    <n v="44525"/>
    <n v="30080.560000000001"/>
    <n v="14444.44"/>
    <x v="0"/>
  </r>
  <r>
    <s v="ORD10843"/>
    <d v="2025-07-22T00:00:00"/>
    <x v="3"/>
    <x v="3"/>
    <x v="2"/>
    <s v="Cabinet"/>
    <x v="3"/>
    <x v="6"/>
    <x v="0"/>
    <n v="7"/>
    <n v="3216"/>
    <n v="22512"/>
    <n v="14403.16"/>
    <n v="8108.84"/>
    <x v="1"/>
  </r>
  <r>
    <s v="ORD10844"/>
    <d v="2024-06-06T00:00:00"/>
    <x v="0"/>
    <x v="3"/>
    <x v="0"/>
    <s v="Printer Ink"/>
    <x v="4"/>
    <x v="5"/>
    <x v="1"/>
    <n v="9"/>
    <n v="609"/>
    <n v="5481"/>
    <n v="3739.4"/>
    <n v="1741.6"/>
    <x v="0"/>
  </r>
  <r>
    <s v="ORD10845"/>
    <d v="2024-11-24T00:00:00"/>
    <x v="1"/>
    <x v="2"/>
    <x v="1"/>
    <s v="Tablet"/>
    <x v="5"/>
    <x v="5"/>
    <x v="0"/>
    <n v="6"/>
    <n v="4706"/>
    <n v="28236"/>
    <n v="20116.93"/>
    <n v="8119.07"/>
    <x v="0"/>
  </r>
  <r>
    <s v="ORD10846"/>
    <d v="2025-07-13T00:00:00"/>
    <x v="3"/>
    <x v="5"/>
    <x v="2"/>
    <s v="Desk"/>
    <x v="6"/>
    <x v="6"/>
    <x v="1"/>
    <n v="2"/>
    <n v="2235"/>
    <n v="4470"/>
    <n v="2535.96"/>
    <n v="1934.04"/>
    <x v="1"/>
  </r>
  <r>
    <s v="ORD10847"/>
    <d v="2025-03-21T00:00:00"/>
    <x v="3"/>
    <x v="1"/>
    <x v="2"/>
    <s v="Cabinet"/>
    <x v="3"/>
    <x v="4"/>
    <x v="0"/>
    <n v="6"/>
    <n v="4047"/>
    <n v="24282"/>
    <n v="15402.33"/>
    <n v="8879.67"/>
    <x v="1"/>
  </r>
  <r>
    <s v="ORD10848"/>
    <d v="2025-12-22T00:00:00"/>
    <x v="2"/>
    <x v="4"/>
    <x v="1"/>
    <s v="Tablet"/>
    <x v="5"/>
    <x v="1"/>
    <x v="1"/>
    <n v="7"/>
    <n v="379"/>
    <n v="2653"/>
    <n v="1853.03"/>
    <n v="799.97"/>
    <x v="1"/>
  </r>
  <r>
    <s v="ORD10849"/>
    <d v="2025-05-17T00:00:00"/>
    <x v="2"/>
    <x v="5"/>
    <x v="1"/>
    <s v="Phone"/>
    <x v="2"/>
    <x v="0"/>
    <x v="0"/>
    <n v="1"/>
    <n v="2647"/>
    <n v="2647"/>
    <n v="1739.76"/>
    <n v="907.24"/>
    <x v="1"/>
  </r>
  <r>
    <s v="ORD10850"/>
    <d v="2025-10-19T00:00:00"/>
    <x v="1"/>
    <x v="4"/>
    <x v="2"/>
    <s v="Chair"/>
    <x v="7"/>
    <x v="6"/>
    <x v="1"/>
    <n v="14"/>
    <n v="2552"/>
    <n v="35728"/>
    <n v="30079.63"/>
    <n v="5648.37"/>
    <x v="1"/>
  </r>
  <r>
    <s v="ORD10851"/>
    <d v="2024-05-19T00:00:00"/>
    <x v="1"/>
    <x v="4"/>
    <x v="2"/>
    <s v="Chair"/>
    <x v="7"/>
    <x v="2"/>
    <x v="0"/>
    <n v="12"/>
    <n v="3240"/>
    <n v="38880"/>
    <n v="25896.18"/>
    <n v="12983.82"/>
    <x v="0"/>
  </r>
  <r>
    <s v="ORD10852"/>
    <d v="2024-07-03T00:00:00"/>
    <x v="3"/>
    <x v="2"/>
    <x v="2"/>
    <s v="Chair"/>
    <x v="7"/>
    <x v="1"/>
    <x v="0"/>
    <n v="6"/>
    <n v="3851"/>
    <n v="23106"/>
    <n v="15853.69"/>
    <n v="7252.31"/>
    <x v="0"/>
  </r>
  <r>
    <s v="ORD10853"/>
    <d v="2025-12-21T00:00:00"/>
    <x v="1"/>
    <x v="1"/>
    <x v="2"/>
    <s v="Cabinet"/>
    <x v="3"/>
    <x v="5"/>
    <x v="0"/>
    <n v="19"/>
    <n v="467"/>
    <n v="8873"/>
    <n v="4980.13"/>
    <n v="3892.87"/>
    <x v="1"/>
  </r>
  <r>
    <s v="ORD10854"/>
    <d v="2024-12-07T00:00:00"/>
    <x v="0"/>
    <x v="2"/>
    <x v="1"/>
    <s v="Phone"/>
    <x v="2"/>
    <x v="6"/>
    <x v="0"/>
    <n v="1"/>
    <n v="4082"/>
    <n v="4082"/>
    <n v="2536.02"/>
    <n v="1545.98"/>
    <x v="0"/>
  </r>
  <r>
    <s v="ORD10855"/>
    <d v="2025-01-03T00:00:00"/>
    <x v="2"/>
    <x v="0"/>
    <x v="0"/>
    <s v="Paper"/>
    <x v="0"/>
    <x v="5"/>
    <x v="1"/>
    <n v="20"/>
    <n v="1395"/>
    <n v="27900"/>
    <n v="21054.799999999999"/>
    <n v="6845.2"/>
    <x v="1"/>
  </r>
  <r>
    <s v="ORD10856"/>
    <d v="2024-12-15T00:00:00"/>
    <x v="0"/>
    <x v="2"/>
    <x v="2"/>
    <s v="Desk"/>
    <x v="6"/>
    <x v="4"/>
    <x v="1"/>
    <n v="7"/>
    <n v="2017"/>
    <n v="14119"/>
    <n v="9270.81"/>
    <n v="4848.1899999999996"/>
    <x v="0"/>
  </r>
  <r>
    <s v="ORD10857"/>
    <d v="2025-05-31T00:00:00"/>
    <x v="1"/>
    <x v="1"/>
    <x v="1"/>
    <s v="Tablet"/>
    <x v="5"/>
    <x v="3"/>
    <x v="0"/>
    <n v="14"/>
    <n v="3939"/>
    <n v="55146"/>
    <n v="40099.54"/>
    <n v="15046.46"/>
    <x v="1"/>
  </r>
  <r>
    <s v="ORD10858"/>
    <d v="2024-01-05T00:00:00"/>
    <x v="0"/>
    <x v="4"/>
    <x v="0"/>
    <s v="Pen"/>
    <x v="8"/>
    <x v="4"/>
    <x v="0"/>
    <n v="4"/>
    <n v="471"/>
    <n v="1884"/>
    <n v="1474.96"/>
    <n v="409.04"/>
    <x v="0"/>
  </r>
  <r>
    <s v="ORD10859"/>
    <d v="2024-10-11T00:00:00"/>
    <x v="3"/>
    <x v="4"/>
    <x v="0"/>
    <s v="Paper"/>
    <x v="0"/>
    <x v="5"/>
    <x v="0"/>
    <n v="5"/>
    <n v="2376"/>
    <n v="11880"/>
    <n v="8260.6"/>
    <n v="3619.4"/>
    <x v="0"/>
  </r>
  <r>
    <s v="ORD10860"/>
    <d v="2025-10-23T00:00:00"/>
    <x v="2"/>
    <x v="1"/>
    <x v="0"/>
    <s v="Pen"/>
    <x v="8"/>
    <x v="6"/>
    <x v="0"/>
    <n v="15"/>
    <n v="1905"/>
    <n v="28575"/>
    <n v="24027.93"/>
    <n v="4547.07"/>
    <x v="1"/>
  </r>
  <r>
    <s v="ORD10861"/>
    <d v="2024-06-14T00:00:00"/>
    <x v="2"/>
    <x v="3"/>
    <x v="1"/>
    <s v="Tablet"/>
    <x v="5"/>
    <x v="5"/>
    <x v="1"/>
    <n v="3"/>
    <n v="945"/>
    <n v="2835"/>
    <n v="1710.83"/>
    <n v="1124.17"/>
    <x v="0"/>
  </r>
  <r>
    <s v="ORD10862"/>
    <d v="2025-03-14T00:00:00"/>
    <x v="1"/>
    <x v="2"/>
    <x v="1"/>
    <s v="Phone"/>
    <x v="2"/>
    <x v="6"/>
    <x v="0"/>
    <n v="19"/>
    <n v="4851"/>
    <n v="92169"/>
    <n v="59811.27"/>
    <n v="32357.73"/>
    <x v="1"/>
  </r>
  <r>
    <s v="ORD10863"/>
    <d v="2024-01-09T00:00:00"/>
    <x v="2"/>
    <x v="3"/>
    <x v="0"/>
    <s v="Paper"/>
    <x v="0"/>
    <x v="1"/>
    <x v="0"/>
    <n v="5"/>
    <n v="4981"/>
    <n v="24905"/>
    <n v="17201.009999999998"/>
    <n v="7703.99"/>
    <x v="0"/>
  </r>
  <r>
    <s v="ORD10864"/>
    <d v="2025-02-19T00:00:00"/>
    <x v="0"/>
    <x v="0"/>
    <x v="0"/>
    <s v="Paper"/>
    <x v="0"/>
    <x v="4"/>
    <x v="0"/>
    <n v="19"/>
    <n v="2378"/>
    <n v="45182"/>
    <n v="37416.949999999997"/>
    <n v="7765.05"/>
    <x v="1"/>
  </r>
  <r>
    <s v="ORD10865"/>
    <d v="2024-12-20T00:00:00"/>
    <x v="1"/>
    <x v="2"/>
    <x v="2"/>
    <s v="Desk"/>
    <x v="6"/>
    <x v="3"/>
    <x v="0"/>
    <n v="5"/>
    <n v="4588"/>
    <n v="22940"/>
    <n v="17383.57"/>
    <n v="5556.43"/>
    <x v="0"/>
  </r>
  <r>
    <s v="ORD10866"/>
    <d v="2025-01-21T00:00:00"/>
    <x v="1"/>
    <x v="3"/>
    <x v="2"/>
    <s v="Desk"/>
    <x v="6"/>
    <x v="6"/>
    <x v="0"/>
    <n v="11"/>
    <n v="3278"/>
    <n v="36058"/>
    <n v="26329.02"/>
    <n v="9728.98"/>
    <x v="1"/>
  </r>
  <r>
    <s v="ORD10867"/>
    <d v="2025-08-14T00:00:00"/>
    <x v="3"/>
    <x v="0"/>
    <x v="0"/>
    <s v="Printer Ink"/>
    <x v="4"/>
    <x v="2"/>
    <x v="0"/>
    <n v="16"/>
    <n v="1192"/>
    <n v="19072"/>
    <n v="10726.99"/>
    <n v="8345.01"/>
    <x v="1"/>
  </r>
  <r>
    <s v="ORD10868"/>
    <d v="2025-12-23T00:00:00"/>
    <x v="1"/>
    <x v="1"/>
    <x v="0"/>
    <s v="Pen"/>
    <x v="8"/>
    <x v="4"/>
    <x v="1"/>
    <n v="4"/>
    <n v="4014"/>
    <n v="16056"/>
    <n v="11031.2"/>
    <n v="5024.8"/>
    <x v="1"/>
  </r>
  <r>
    <s v="ORD10869"/>
    <d v="2025-03-27T00:00:00"/>
    <x v="0"/>
    <x v="2"/>
    <x v="1"/>
    <s v="Tablet"/>
    <x v="5"/>
    <x v="5"/>
    <x v="1"/>
    <n v="4"/>
    <n v="393"/>
    <n v="1572"/>
    <n v="1234.97"/>
    <n v="337.03"/>
    <x v="1"/>
  </r>
  <r>
    <s v="ORD10870"/>
    <d v="2025-04-03T00:00:00"/>
    <x v="0"/>
    <x v="1"/>
    <x v="0"/>
    <s v="Paper"/>
    <x v="0"/>
    <x v="6"/>
    <x v="1"/>
    <n v="4"/>
    <n v="4862"/>
    <n v="19448"/>
    <n v="12346.61"/>
    <n v="7101.39"/>
    <x v="1"/>
  </r>
  <r>
    <s v="ORD10871"/>
    <d v="2024-11-18T00:00:00"/>
    <x v="0"/>
    <x v="2"/>
    <x v="2"/>
    <s v="Chair"/>
    <x v="7"/>
    <x v="0"/>
    <x v="1"/>
    <n v="7"/>
    <n v="3527"/>
    <n v="24689"/>
    <n v="17561.7"/>
    <n v="7127.3"/>
    <x v="0"/>
  </r>
  <r>
    <s v="ORD10872"/>
    <d v="2025-12-04T00:00:00"/>
    <x v="3"/>
    <x v="0"/>
    <x v="1"/>
    <s v="Laptop"/>
    <x v="1"/>
    <x v="6"/>
    <x v="1"/>
    <n v="17"/>
    <n v="4238"/>
    <n v="72046"/>
    <n v="42341.97"/>
    <n v="29704.03"/>
    <x v="1"/>
  </r>
  <r>
    <s v="ORD10873"/>
    <d v="2024-10-28T00:00:00"/>
    <x v="1"/>
    <x v="3"/>
    <x v="2"/>
    <s v="Cabinet"/>
    <x v="3"/>
    <x v="2"/>
    <x v="1"/>
    <n v="16"/>
    <n v="3954"/>
    <n v="63264"/>
    <n v="51254.76"/>
    <n v="12009.24"/>
    <x v="0"/>
  </r>
  <r>
    <s v="ORD10874"/>
    <d v="2025-08-18T00:00:00"/>
    <x v="0"/>
    <x v="2"/>
    <x v="1"/>
    <s v="Laptop"/>
    <x v="1"/>
    <x v="4"/>
    <x v="0"/>
    <n v="19"/>
    <n v="4376"/>
    <n v="83144"/>
    <n v="53037.03"/>
    <n v="30106.97"/>
    <x v="1"/>
  </r>
  <r>
    <s v="ORD10875"/>
    <d v="2025-02-06T00:00:00"/>
    <x v="3"/>
    <x v="4"/>
    <x v="0"/>
    <s v="Paper"/>
    <x v="0"/>
    <x v="6"/>
    <x v="0"/>
    <n v="4"/>
    <n v="3981"/>
    <n v="15924"/>
    <n v="10336.200000000001"/>
    <n v="5587.8"/>
    <x v="1"/>
  </r>
  <r>
    <s v="ORD10876"/>
    <d v="2024-07-23T00:00:00"/>
    <x v="3"/>
    <x v="2"/>
    <x v="2"/>
    <s v="Chair"/>
    <x v="7"/>
    <x v="4"/>
    <x v="1"/>
    <n v="18"/>
    <n v="3627"/>
    <n v="65286"/>
    <n v="53870.57"/>
    <n v="11415.43"/>
    <x v="0"/>
  </r>
  <r>
    <s v="ORD10877"/>
    <d v="2025-08-08T00:00:00"/>
    <x v="1"/>
    <x v="5"/>
    <x v="0"/>
    <s v="Printer Ink"/>
    <x v="4"/>
    <x v="3"/>
    <x v="0"/>
    <n v="2"/>
    <n v="1314"/>
    <n v="2628"/>
    <n v="1465.93"/>
    <n v="1162.07"/>
    <x v="1"/>
  </r>
  <r>
    <s v="ORD10878"/>
    <d v="2025-08-20T00:00:00"/>
    <x v="3"/>
    <x v="4"/>
    <x v="2"/>
    <s v="Desk"/>
    <x v="6"/>
    <x v="5"/>
    <x v="0"/>
    <n v="12"/>
    <n v="3308"/>
    <n v="39696"/>
    <n v="31753.26"/>
    <n v="7942.74"/>
    <x v="1"/>
  </r>
  <r>
    <s v="ORD10879"/>
    <d v="2024-08-11T00:00:00"/>
    <x v="0"/>
    <x v="4"/>
    <x v="2"/>
    <s v="Cabinet"/>
    <x v="3"/>
    <x v="6"/>
    <x v="1"/>
    <n v="5"/>
    <n v="3478"/>
    <n v="17390"/>
    <n v="9649.76"/>
    <n v="7740.24"/>
    <x v="0"/>
  </r>
  <r>
    <s v="ORD10880"/>
    <d v="2025-10-14T00:00:00"/>
    <x v="2"/>
    <x v="4"/>
    <x v="1"/>
    <s v="Phone"/>
    <x v="2"/>
    <x v="0"/>
    <x v="1"/>
    <n v="17"/>
    <n v="177"/>
    <n v="3009"/>
    <n v="2056.4699999999998"/>
    <n v="952.53"/>
    <x v="1"/>
  </r>
  <r>
    <s v="ORD10881"/>
    <d v="2024-12-17T00:00:00"/>
    <x v="3"/>
    <x v="5"/>
    <x v="2"/>
    <s v="Desk"/>
    <x v="6"/>
    <x v="7"/>
    <x v="0"/>
    <n v="17"/>
    <n v="537"/>
    <n v="9129"/>
    <n v="6084.65"/>
    <n v="3044.35"/>
    <x v="0"/>
  </r>
  <r>
    <s v="ORD10882"/>
    <d v="2024-04-25T00:00:00"/>
    <x v="1"/>
    <x v="4"/>
    <x v="2"/>
    <s v="Cabinet"/>
    <x v="3"/>
    <x v="7"/>
    <x v="1"/>
    <n v="1"/>
    <n v="1052"/>
    <n v="1052"/>
    <n v="647.16999999999996"/>
    <n v="404.83"/>
    <x v="0"/>
  </r>
  <r>
    <s v="ORD10883"/>
    <d v="2024-04-10T00:00:00"/>
    <x v="0"/>
    <x v="3"/>
    <x v="0"/>
    <s v="Paper"/>
    <x v="0"/>
    <x v="1"/>
    <x v="1"/>
    <n v="5"/>
    <n v="670"/>
    <n v="3350"/>
    <n v="1947.23"/>
    <n v="1402.77"/>
    <x v="0"/>
  </r>
  <r>
    <s v="ORD10884"/>
    <d v="2024-04-29T00:00:00"/>
    <x v="1"/>
    <x v="2"/>
    <x v="2"/>
    <s v="Desk"/>
    <x v="6"/>
    <x v="0"/>
    <x v="1"/>
    <n v="9"/>
    <n v="4050"/>
    <n v="36450"/>
    <n v="24908.06"/>
    <n v="11541.94"/>
    <x v="0"/>
  </r>
  <r>
    <s v="ORD10885"/>
    <d v="2024-09-12T00:00:00"/>
    <x v="1"/>
    <x v="0"/>
    <x v="1"/>
    <s v="Tablet"/>
    <x v="5"/>
    <x v="5"/>
    <x v="1"/>
    <n v="14"/>
    <n v="388"/>
    <n v="5432"/>
    <n v="4100.1099999999997"/>
    <n v="1331.89"/>
    <x v="0"/>
  </r>
  <r>
    <s v="ORD10886"/>
    <d v="2024-05-05T00:00:00"/>
    <x v="0"/>
    <x v="1"/>
    <x v="2"/>
    <s v="Desk"/>
    <x v="6"/>
    <x v="7"/>
    <x v="1"/>
    <n v="18"/>
    <n v="1398"/>
    <n v="25164"/>
    <n v="17289.77"/>
    <n v="7874.23"/>
    <x v="0"/>
  </r>
  <r>
    <s v="ORD10887"/>
    <d v="2024-08-04T00:00:00"/>
    <x v="2"/>
    <x v="4"/>
    <x v="0"/>
    <s v="Paper"/>
    <x v="0"/>
    <x v="0"/>
    <x v="0"/>
    <n v="3"/>
    <n v="4002"/>
    <n v="12006"/>
    <n v="9815.94"/>
    <n v="2190.06"/>
    <x v="0"/>
  </r>
  <r>
    <s v="ORD10888"/>
    <d v="2024-06-27T00:00:00"/>
    <x v="0"/>
    <x v="3"/>
    <x v="2"/>
    <s v="Desk"/>
    <x v="6"/>
    <x v="1"/>
    <x v="1"/>
    <n v="11"/>
    <n v="1256"/>
    <n v="13816"/>
    <n v="7843.69"/>
    <n v="5972.31"/>
    <x v="0"/>
  </r>
  <r>
    <s v="ORD10889"/>
    <d v="2025-12-16T00:00:00"/>
    <x v="0"/>
    <x v="3"/>
    <x v="0"/>
    <s v="Pen"/>
    <x v="8"/>
    <x v="2"/>
    <x v="0"/>
    <n v="13"/>
    <n v="417"/>
    <n v="5421"/>
    <n v="3711.62"/>
    <n v="1709.38"/>
    <x v="1"/>
  </r>
  <r>
    <s v="ORD10890"/>
    <d v="2025-09-20T00:00:00"/>
    <x v="1"/>
    <x v="3"/>
    <x v="2"/>
    <s v="Cabinet"/>
    <x v="3"/>
    <x v="2"/>
    <x v="1"/>
    <n v="6"/>
    <n v="4185"/>
    <n v="25110"/>
    <n v="20201.669999999998"/>
    <n v="4908.33"/>
    <x v="1"/>
  </r>
  <r>
    <s v="ORD10891"/>
    <d v="2024-03-13T00:00:00"/>
    <x v="1"/>
    <x v="1"/>
    <x v="1"/>
    <s v="Laptop"/>
    <x v="1"/>
    <x v="2"/>
    <x v="0"/>
    <n v="13"/>
    <n v="1203"/>
    <n v="15639"/>
    <n v="12303.14"/>
    <n v="3335.86"/>
    <x v="0"/>
  </r>
  <r>
    <s v="ORD10892"/>
    <d v="2025-05-14T00:00:00"/>
    <x v="2"/>
    <x v="0"/>
    <x v="0"/>
    <s v="Paper"/>
    <x v="0"/>
    <x v="5"/>
    <x v="1"/>
    <n v="17"/>
    <n v="2089"/>
    <n v="35513"/>
    <n v="25140.74"/>
    <n v="10372.26"/>
    <x v="1"/>
  </r>
  <r>
    <s v="ORD10893"/>
    <d v="2025-02-01T00:00:00"/>
    <x v="3"/>
    <x v="2"/>
    <x v="0"/>
    <s v="Printer Ink"/>
    <x v="4"/>
    <x v="4"/>
    <x v="1"/>
    <n v="4"/>
    <n v="4614"/>
    <n v="18456"/>
    <n v="12486.72"/>
    <n v="5969.28"/>
    <x v="1"/>
  </r>
  <r>
    <s v="ORD10894"/>
    <d v="2024-11-13T00:00:00"/>
    <x v="0"/>
    <x v="0"/>
    <x v="2"/>
    <s v="Chair"/>
    <x v="7"/>
    <x v="6"/>
    <x v="0"/>
    <n v="7"/>
    <n v="726"/>
    <n v="5082"/>
    <n v="3764.79"/>
    <n v="1317.21"/>
    <x v="0"/>
  </r>
  <r>
    <s v="ORD10895"/>
    <d v="2025-06-27T00:00:00"/>
    <x v="0"/>
    <x v="0"/>
    <x v="1"/>
    <s v="Phone"/>
    <x v="2"/>
    <x v="1"/>
    <x v="1"/>
    <n v="1"/>
    <n v="3317"/>
    <n v="3317"/>
    <n v="2025.62"/>
    <n v="1291.3800000000001"/>
    <x v="1"/>
  </r>
  <r>
    <s v="ORD10896"/>
    <d v="2025-11-25T00:00:00"/>
    <x v="2"/>
    <x v="4"/>
    <x v="1"/>
    <s v="Tablet"/>
    <x v="5"/>
    <x v="3"/>
    <x v="0"/>
    <n v="20"/>
    <n v="3713"/>
    <n v="74260"/>
    <n v="60422.11"/>
    <n v="13837.89"/>
    <x v="1"/>
  </r>
  <r>
    <s v="ORD10897"/>
    <d v="2025-03-30T00:00:00"/>
    <x v="1"/>
    <x v="0"/>
    <x v="0"/>
    <s v="Printer Ink"/>
    <x v="4"/>
    <x v="7"/>
    <x v="1"/>
    <n v="10"/>
    <n v="3320"/>
    <n v="33200"/>
    <n v="21977.39"/>
    <n v="11222.61"/>
    <x v="1"/>
  </r>
  <r>
    <s v="ORD10898"/>
    <d v="2025-06-27T00:00:00"/>
    <x v="1"/>
    <x v="1"/>
    <x v="1"/>
    <s v="Laptop"/>
    <x v="1"/>
    <x v="0"/>
    <x v="1"/>
    <n v="20"/>
    <n v="4380"/>
    <n v="87600"/>
    <n v="72108.27"/>
    <n v="15491.73"/>
    <x v="1"/>
  </r>
  <r>
    <s v="ORD10899"/>
    <d v="2025-10-01T00:00:00"/>
    <x v="3"/>
    <x v="4"/>
    <x v="1"/>
    <s v="Tablet"/>
    <x v="5"/>
    <x v="6"/>
    <x v="0"/>
    <n v="10"/>
    <n v="271"/>
    <n v="2710"/>
    <n v="1865.28"/>
    <n v="844.72"/>
    <x v="1"/>
  </r>
  <r>
    <s v="ORD10900"/>
    <d v="2025-03-24T00:00:00"/>
    <x v="0"/>
    <x v="1"/>
    <x v="2"/>
    <s v="Cabinet"/>
    <x v="3"/>
    <x v="6"/>
    <x v="1"/>
    <n v="10"/>
    <n v="273"/>
    <n v="2730"/>
    <n v="1741.57"/>
    <n v="988.43"/>
    <x v="1"/>
  </r>
  <r>
    <s v="ORD10901"/>
    <d v="2025-11-06T00:00:00"/>
    <x v="2"/>
    <x v="4"/>
    <x v="2"/>
    <s v="Desk"/>
    <x v="6"/>
    <x v="5"/>
    <x v="0"/>
    <n v="11"/>
    <n v="2828"/>
    <n v="31108"/>
    <n v="21334.01"/>
    <n v="9773.99"/>
    <x v="1"/>
  </r>
  <r>
    <s v="ORD10902"/>
    <d v="2025-05-27T00:00:00"/>
    <x v="0"/>
    <x v="4"/>
    <x v="0"/>
    <s v="Paper"/>
    <x v="0"/>
    <x v="0"/>
    <x v="1"/>
    <n v="11"/>
    <n v="2389"/>
    <n v="26279"/>
    <n v="20550.09"/>
    <n v="5728.91"/>
    <x v="1"/>
  </r>
  <r>
    <s v="ORD10903"/>
    <d v="2025-09-05T00:00:00"/>
    <x v="1"/>
    <x v="1"/>
    <x v="0"/>
    <s v="Printer Ink"/>
    <x v="4"/>
    <x v="1"/>
    <x v="1"/>
    <n v="13"/>
    <n v="3502"/>
    <n v="45526"/>
    <n v="28883.14"/>
    <n v="16642.86"/>
    <x v="1"/>
  </r>
  <r>
    <s v="ORD10904"/>
    <d v="2025-07-15T00:00:00"/>
    <x v="1"/>
    <x v="2"/>
    <x v="1"/>
    <s v="Phone"/>
    <x v="2"/>
    <x v="1"/>
    <x v="1"/>
    <n v="10"/>
    <n v="365"/>
    <n v="3650"/>
    <n v="2601.62"/>
    <n v="1048.3800000000001"/>
    <x v="1"/>
  </r>
  <r>
    <s v="ORD10905"/>
    <d v="2024-09-25T00:00:00"/>
    <x v="1"/>
    <x v="5"/>
    <x v="1"/>
    <s v="Tablet"/>
    <x v="5"/>
    <x v="1"/>
    <x v="1"/>
    <n v="12"/>
    <n v="4989"/>
    <n v="59868"/>
    <n v="41617.01"/>
    <n v="18250.990000000002"/>
    <x v="0"/>
  </r>
  <r>
    <s v="ORD10906"/>
    <d v="2024-08-30T00:00:00"/>
    <x v="0"/>
    <x v="2"/>
    <x v="1"/>
    <s v="Tablet"/>
    <x v="5"/>
    <x v="7"/>
    <x v="0"/>
    <n v="3"/>
    <n v="343"/>
    <n v="1029"/>
    <n v="743.03"/>
    <n v="285.97000000000003"/>
    <x v="0"/>
  </r>
  <r>
    <s v="ORD10907"/>
    <d v="2025-07-24T00:00:00"/>
    <x v="3"/>
    <x v="3"/>
    <x v="1"/>
    <s v="Laptop"/>
    <x v="1"/>
    <x v="7"/>
    <x v="0"/>
    <n v="19"/>
    <n v="1008"/>
    <n v="19152"/>
    <n v="12505.3"/>
    <n v="6646.7"/>
    <x v="1"/>
  </r>
  <r>
    <s v="ORD10908"/>
    <d v="2024-12-11T00:00:00"/>
    <x v="1"/>
    <x v="3"/>
    <x v="0"/>
    <s v="Paper"/>
    <x v="0"/>
    <x v="2"/>
    <x v="1"/>
    <n v="11"/>
    <n v="4200"/>
    <n v="46200"/>
    <n v="33948.730000000003"/>
    <n v="12251.27"/>
    <x v="0"/>
  </r>
  <r>
    <s v="ORD10909"/>
    <d v="2024-04-04T00:00:00"/>
    <x v="3"/>
    <x v="1"/>
    <x v="1"/>
    <s v="Tablet"/>
    <x v="5"/>
    <x v="5"/>
    <x v="0"/>
    <n v="17"/>
    <n v="4509"/>
    <n v="76653"/>
    <n v="48536.33"/>
    <n v="28116.67"/>
    <x v="0"/>
  </r>
  <r>
    <s v="ORD10910"/>
    <d v="2024-11-19T00:00:00"/>
    <x v="2"/>
    <x v="4"/>
    <x v="1"/>
    <s v="Tablet"/>
    <x v="5"/>
    <x v="0"/>
    <x v="0"/>
    <n v="3"/>
    <n v="2794"/>
    <n v="8382"/>
    <n v="6246.32"/>
    <n v="2135.6799999999998"/>
    <x v="0"/>
  </r>
  <r>
    <s v="ORD10911"/>
    <d v="2025-07-30T00:00:00"/>
    <x v="2"/>
    <x v="3"/>
    <x v="1"/>
    <s v="Tablet"/>
    <x v="5"/>
    <x v="3"/>
    <x v="1"/>
    <n v="4"/>
    <n v="341"/>
    <n v="1364"/>
    <n v="766"/>
    <n v="598"/>
    <x v="1"/>
  </r>
  <r>
    <s v="ORD10912"/>
    <d v="2025-12-06T00:00:00"/>
    <x v="1"/>
    <x v="2"/>
    <x v="0"/>
    <s v="Paper"/>
    <x v="0"/>
    <x v="4"/>
    <x v="1"/>
    <n v="16"/>
    <n v="1612"/>
    <n v="25792"/>
    <n v="14936.3"/>
    <n v="10855.7"/>
    <x v="1"/>
  </r>
  <r>
    <s v="ORD10913"/>
    <d v="2024-07-30T00:00:00"/>
    <x v="1"/>
    <x v="0"/>
    <x v="0"/>
    <s v="Pen"/>
    <x v="8"/>
    <x v="1"/>
    <x v="0"/>
    <n v="14"/>
    <n v="4142"/>
    <n v="57988"/>
    <n v="42799.32"/>
    <n v="15188.68"/>
    <x v="0"/>
  </r>
  <r>
    <s v="ORD10914"/>
    <d v="2025-12-18T00:00:00"/>
    <x v="2"/>
    <x v="3"/>
    <x v="2"/>
    <s v="Cabinet"/>
    <x v="3"/>
    <x v="2"/>
    <x v="0"/>
    <n v="20"/>
    <n v="4550"/>
    <n v="91000"/>
    <n v="51122.89"/>
    <n v="39877.11"/>
    <x v="1"/>
  </r>
  <r>
    <s v="ORD10915"/>
    <d v="2025-04-07T00:00:00"/>
    <x v="3"/>
    <x v="5"/>
    <x v="2"/>
    <s v="Chair"/>
    <x v="7"/>
    <x v="0"/>
    <x v="1"/>
    <n v="15"/>
    <n v="4677"/>
    <n v="70155"/>
    <n v="53170.19"/>
    <n v="16984.810000000001"/>
    <x v="1"/>
  </r>
  <r>
    <s v="ORD10916"/>
    <d v="2024-03-05T00:00:00"/>
    <x v="1"/>
    <x v="1"/>
    <x v="2"/>
    <s v="Chair"/>
    <x v="7"/>
    <x v="4"/>
    <x v="1"/>
    <n v="3"/>
    <n v="3245"/>
    <n v="9735"/>
    <n v="7911.1"/>
    <n v="1823.9"/>
    <x v="0"/>
  </r>
  <r>
    <s v="ORD10917"/>
    <d v="2024-07-06T00:00:00"/>
    <x v="3"/>
    <x v="3"/>
    <x v="1"/>
    <s v="Phone"/>
    <x v="2"/>
    <x v="2"/>
    <x v="1"/>
    <n v="11"/>
    <n v="125"/>
    <n v="1375"/>
    <n v="952.05"/>
    <n v="422.95"/>
    <x v="0"/>
  </r>
  <r>
    <s v="ORD10918"/>
    <d v="2024-11-28T00:00:00"/>
    <x v="2"/>
    <x v="0"/>
    <x v="2"/>
    <s v="Chair"/>
    <x v="7"/>
    <x v="5"/>
    <x v="1"/>
    <n v="20"/>
    <n v="2917"/>
    <n v="58340"/>
    <n v="39753.279999999999"/>
    <n v="18586.72"/>
    <x v="0"/>
  </r>
  <r>
    <s v="ORD10919"/>
    <d v="2024-06-20T00:00:00"/>
    <x v="0"/>
    <x v="2"/>
    <x v="0"/>
    <s v="Paper"/>
    <x v="0"/>
    <x v="3"/>
    <x v="0"/>
    <n v="14"/>
    <n v="1422"/>
    <n v="19908"/>
    <n v="16386.39"/>
    <n v="3521.61"/>
    <x v="0"/>
  </r>
  <r>
    <s v="ORD10920"/>
    <d v="2025-09-28T00:00:00"/>
    <x v="1"/>
    <x v="1"/>
    <x v="2"/>
    <s v="Desk"/>
    <x v="6"/>
    <x v="0"/>
    <x v="1"/>
    <n v="16"/>
    <n v="3070"/>
    <n v="49120"/>
    <n v="33538.199999999997"/>
    <n v="15581.8"/>
    <x v="1"/>
  </r>
  <r>
    <s v="ORD10921"/>
    <d v="2025-08-24T00:00:00"/>
    <x v="1"/>
    <x v="5"/>
    <x v="2"/>
    <s v="Desk"/>
    <x v="6"/>
    <x v="4"/>
    <x v="0"/>
    <n v="13"/>
    <n v="1996"/>
    <n v="25948"/>
    <n v="16432.63"/>
    <n v="9515.3700000000008"/>
    <x v="1"/>
  </r>
  <r>
    <s v="ORD10922"/>
    <d v="2024-05-03T00:00:00"/>
    <x v="1"/>
    <x v="2"/>
    <x v="2"/>
    <s v="Cabinet"/>
    <x v="3"/>
    <x v="2"/>
    <x v="1"/>
    <n v="18"/>
    <n v="2032"/>
    <n v="36576"/>
    <n v="23929.85"/>
    <n v="12646.15"/>
    <x v="0"/>
  </r>
  <r>
    <s v="ORD10923"/>
    <d v="2025-11-11T00:00:00"/>
    <x v="3"/>
    <x v="0"/>
    <x v="0"/>
    <s v="Pen"/>
    <x v="8"/>
    <x v="3"/>
    <x v="0"/>
    <n v="15"/>
    <n v="2344"/>
    <n v="35160"/>
    <n v="22905.06"/>
    <n v="12254.94"/>
    <x v="1"/>
  </r>
  <r>
    <s v="ORD10924"/>
    <d v="2025-08-30T00:00:00"/>
    <x v="2"/>
    <x v="1"/>
    <x v="1"/>
    <s v="Laptop"/>
    <x v="1"/>
    <x v="7"/>
    <x v="1"/>
    <n v="3"/>
    <n v="2227"/>
    <n v="6681"/>
    <n v="5267.34"/>
    <n v="1413.66"/>
    <x v="1"/>
  </r>
  <r>
    <s v="ORD10925"/>
    <d v="2024-01-17T00:00:00"/>
    <x v="2"/>
    <x v="4"/>
    <x v="0"/>
    <s v="Paper"/>
    <x v="0"/>
    <x v="2"/>
    <x v="1"/>
    <n v="20"/>
    <n v="2275"/>
    <n v="45500"/>
    <n v="29232.07"/>
    <n v="16267.93"/>
    <x v="0"/>
  </r>
  <r>
    <s v="ORD10926"/>
    <d v="2024-01-03T00:00:00"/>
    <x v="1"/>
    <x v="2"/>
    <x v="2"/>
    <s v="Cabinet"/>
    <x v="3"/>
    <x v="1"/>
    <x v="1"/>
    <n v="8"/>
    <n v="4967"/>
    <n v="39736"/>
    <n v="24950.14"/>
    <n v="14785.86"/>
    <x v="0"/>
  </r>
  <r>
    <s v="ORD10927"/>
    <d v="2024-09-30T00:00:00"/>
    <x v="2"/>
    <x v="3"/>
    <x v="2"/>
    <s v="Chair"/>
    <x v="7"/>
    <x v="5"/>
    <x v="0"/>
    <n v="6"/>
    <n v="1936"/>
    <n v="11616"/>
    <n v="8702.09"/>
    <n v="2913.91"/>
    <x v="0"/>
  </r>
  <r>
    <s v="ORD10928"/>
    <d v="2025-04-01T00:00:00"/>
    <x v="3"/>
    <x v="3"/>
    <x v="2"/>
    <s v="Cabinet"/>
    <x v="3"/>
    <x v="0"/>
    <x v="1"/>
    <n v="2"/>
    <n v="2592"/>
    <n v="5184"/>
    <n v="3104.69"/>
    <n v="2079.31"/>
    <x v="1"/>
  </r>
  <r>
    <s v="ORD10929"/>
    <d v="2024-05-22T00:00:00"/>
    <x v="2"/>
    <x v="4"/>
    <x v="0"/>
    <s v="Pen"/>
    <x v="8"/>
    <x v="5"/>
    <x v="0"/>
    <n v="15"/>
    <n v="3606"/>
    <n v="54090"/>
    <n v="31382.639999999999"/>
    <n v="22707.360000000001"/>
    <x v="0"/>
  </r>
  <r>
    <s v="ORD10930"/>
    <d v="2024-06-16T00:00:00"/>
    <x v="0"/>
    <x v="2"/>
    <x v="1"/>
    <s v="Laptop"/>
    <x v="1"/>
    <x v="5"/>
    <x v="0"/>
    <n v="9"/>
    <n v="3797"/>
    <n v="34173"/>
    <n v="20230.73"/>
    <n v="13942.27"/>
    <x v="0"/>
  </r>
  <r>
    <s v="ORD10931"/>
    <d v="2025-04-24T00:00:00"/>
    <x v="0"/>
    <x v="0"/>
    <x v="1"/>
    <s v="Tablet"/>
    <x v="5"/>
    <x v="6"/>
    <x v="1"/>
    <n v="16"/>
    <n v="4683"/>
    <n v="74928"/>
    <n v="48066.21"/>
    <n v="26861.79"/>
    <x v="1"/>
  </r>
  <r>
    <s v="ORD10932"/>
    <d v="2024-01-30T00:00:00"/>
    <x v="2"/>
    <x v="0"/>
    <x v="1"/>
    <s v="Laptop"/>
    <x v="1"/>
    <x v="3"/>
    <x v="1"/>
    <n v="11"/>
    <n v="3079"/>
    <n v="33869"/>
    <n v="21856.69"/>
    <n v="12012.31"/>
    <x v="0"/>
  </r>
  <r>
    <s v="ORD10933"/>
    <d v="2024-09-13T00:00:00"/>
    <x v="1"/>
    <x v="5"/>
    <x v="2"/>
    <s v="Chair"/>
    <x v="7"/>
    <x v="2"/>
    <x v="0"/>
    <n v="17"/>
    <n v="4400"/>
    <n v="74800"/>
    <n v="63404.12"/>
    <n v="11395.88"/>
    <x v="0"/>
  </r>
  <r>
    <s v="ORD10934"/>
    <d v="2025-02-01T00:00:00"/>
    <x v="1"/>
    <x v="1"/>
    <x v="2"/>
    <s v="Chair"/>
    <x v="7"/>
    <x v="0"/>
    <x v="0"/>
    <n v="10"/>
    <n v="241"/>
    <n v="2410"/>
    <n v="1836.38"/>
    <n v="573.62"/>
    <x v="1"/>
  </r>
  <r>
    <s v="ORD10935"/>
    <d v="2025-05-26T00:00:00"/>
    <x v="2"/>
    <x v="2"/>
    <x v="1"/>
    <s v="Tablet"/>
    <x v="5"/>
    <x v="6"/>
    <x v="0"/>
    <n v="14"/>
    <n v="4702"/>
    <n v="65828"/>
    <n v="37614.94"/>
    <n v="28213.06"/>
    <x v="1"/>
  </r>
  <r>
    <s v="ORD10936"/>
    <d v="2024-06-07T00:00:00"/>
    <x v="0"/>
    <x v="0"/>
    <x v="1"/>
    <s v="Phone"/>
    <x v="2"/>
    <x v="5"/>
    <x v="1"/>
    <n v="18"/>
    <n v="3146"/>
    <n v="56628"/>
    <n v="42451.61"/>
    <n v="14176.39"/>
    <x v="0"/>
  </r>
  <r>
    <s v="ORD10937"/>
    <d v="2024-07-04T00:00:00"/>
    <x v="1"/>
    <x v="5"/>
    <x v="1"/>
    <s v="Tablet"/>
    <x v="5"/>
    <x v="6"/>
    <x v="0"/>
    <n v="19"/>
    <n v="801"/>
    <n v="15219"/>
    <n v="8763.39"/>
    <n v="6455.61"/>
    <x v="0"/>
  </r>
  <r>
    <s v="ORD10938"/>
    <d v="2025-11-19T00:00:00"/>
    <x v="0"/>
    <x v="5"/>
    <x v="0"/>
    <s v="Printer Ink"/>
    <x v="4"/>
    <x v="0"/>
    <x v="1"/>
    <n v="5"/>
    <n v="793"/>
    <n v="3965"/>
    <n v="2423.4899999999998"/>
    <n v="1541.51"/>
    <x v="1"/>
  </r>
  <r>
    <s v="ORD10939"/>
    <d v="2024-01-02T00:00:00"/>
    <x v="3"/>
    <x v="2"/>
    <x v="1"/>
    <s v="Laptop"/>
    <x v="1"/>
    <x v="5"/>
    <x v="0"/>
    <n v="1"/>
    <n v="331"/>
    <n v="331"/>
    <n v="182.92"/>
    <n v="148.08000000000001"/>
    <x v="0"/>
  </r>
  <r>
    <s v="ORD10940"/>
    <d v="2024-07-17T00:00:00"/>
    <x v="2"/>
    <x v="1"/>
    <x v="2"/>
    <s v="Cabinet"/>
    <x v="3"/>
    <x v="4"/>
    <x v="0"/>
    <n v="13"/>
    <n v="4025"/>
    <n v="52325"/>
    <n v="41028.480000000003"/>
    <n v="11296.52"/>
    <x v="0"/>
  </r>
  <r>
    <s v="ORD10941"/>
    <d v="2024-02-10T00:00:00"/>
    <x v="3"/>
    <x v="2"/>
    <x v="1"/>
    <s v="Laptop"/>
    <x v="1"/>
    <x v="2"/>
    <x v="1"/>
    <n v="15"/>
    <n v="1229"/>
    <n v="18435"/>
    <n v="14983.67"/>
    <n v="3451.33"/>
    <x v="0"/>
  </r>
  <r>
    <s v="ORD10942"/>
    <d v="2025-05-07T00:00:00"/>
    <x v="0"/>
    <x v="3"/>
    <x v="1"/>
    <s v="Phone"/>
    <x v="2"/>
    <x v="3"/>
    <x v="0"/>
    <n v="6"/>
    <n v="644"/>
    <n v="3864"/>
    <n v="2820.2"/>
    <n v="1043.8"/>
    <x v="1"/>
  </r>
  <r>
    <s v="ORD10943"/>
    <d v="2024-09-04T00:00:00"/>
    <x v="2"/>
    <x v="2"/>
    <x v="0"/>
    <s v="Printer Ink"/>
    <x v="4"/>
    <x v="4"/>
    <x v="1"/>
    <n v="16"/>
    <n v="3200"/>
    <n v="51200"/>
    <n v="34317.040000000001"/>
    <n v="16882.96"/>
    <x v="0"/>
  </r>
  <r>
    <s v="ORD10944"/>
    <d v="2024-01-03T00:00:00"/>
    <x v="0"/>
    <x v="2"/>
    <x v="1"/>
    <s v="Phone"/>
    <x v="2"/>
    <x v="6"/>
    <x v="0"/>
    <n v="17"/>
    <n v="3673"/>
    <n v="62441"/>
    <n v="44290.25"/>
    <n v="18150.75"/>
    <x v="0"/>
  </r>
  <r>
    <s v="ORD10945"/>
    <d v="2025-04-19T00:00:00"/>
    <x v="1"/>
    <x v="2"/>
    <x v="2"/>
    <s v="Desk"/>
    <x v="6"/>
    <x v="0"/>
    <x v="1"/>
    <n v="16"/>
    <n v="1811"/>
    <n v="28976"/>
    <n v="17916.919999999998"/>
    <n v="11059.08"/>
    <x v="1"/>
  </r>
  <r>
    <s v="ORD10946"/>
    <d v="2025-11-13T00:00:00"/>
    <x v="0"/>
    <x v="5"/>
    <x v="0"/>
    <s v="Printer Ink"/>
    <x v="4"/>
    <x v="6"/>
    <x v="0"/>
    <n v="13"/>
    <n v="2872"/>
    <n v="37336"/>
    <n v="21266.3"/>
    <n v="16069.7"/>
    <x v="1"/>
  </r>
  <r>
    <s v="ORD10947"/>
    <d v="2024-04-11T00:00:00"/>
    <x v="2"/>
    <x v="3"/>
    <x v="2"/>
    <s v="Cabinet"/>
    <x v="3"/>
    <x v="7"/>
    <x v="0"/>
    <n v="12"/>
    <n v="3115"/>
    <n v="37380"/>
    <n v="28747.83"/>
    <n v="8632.17"/>
    <x v="0"/>
  </r>
  <r>
    <s v="ORD10948"/>
    <d v="2024-07-14T00:00:00"/>
    <x v="1"/>
    <x v="5"/>
    <x v="0"/>
    <s v="Printer Ink"/>
    <x v="4"/>
    <x v="6"/>
    <x v="1"/>
    <n v="17"/>
    <n v="1905"/>
    <n v="32385"/>
    <n v="19243.36"/>
    <n v="13141.64"/>
    <x v="0"/>
  </r>
  <r>
    <s v="ORD10949"/>
    <d v="2025-11-16T00:00:00"/>
    <x v="0"/>
    <x v="4"/>
    <x v="0"/>
    <s v="Printer Ink"/>
    <x v="4"/>
    <x v="1"/>
    <x v="1"/>
    <n v="18"/>
    <n v="4844"/>
    <n v="87192"/>
    <n v="65352.56"/>
    <n v="21839.439999999999"/>
    <x v="1"/>
  </r>
  <r>
    <s v="ORD10950"/>
    <d v="2024-09-04T00:00:00"/>
    <x v="3"/>
    <x v="0"/>
    <x v="0"/>
    <s v="Pen"/>
    <x v="8"/>
    <x v="6"/>
    <x v="1"/>
    <n v="3"/>
    <n v="1826"/>
    <n v="5478"/>
    <n v="3595.73"/>
    <n v="1882.27"/>
    <x v="0"/>
  </r>
  <r>
    <s v="ORD10951"/>
    <d v="2024-10-12T00:00:00"/>
    <x v="3"/>
    <x v="5"/>
    <x v="1"/>
    <s v="Tablet"/>
    <x v="5"/>
    <x v="7"/>
    <x v="1"/>
    <n v="5"/>
    <n v="4604"/>
    <n v="23020"/>
    <n v="17439.46"/>
    <n v="5580.54"/>
    <x v="0"/>
  </r>
  <r>
    <s v="ORD10952"/>
    <d v="2025-02-28T00:00:00"/>
    <x v="2"/>
    <x v="5"/>
    <x v="0"/>
    <s v="Pen"/>
    <x v="8"/>
    <x v="5"/>
    <x v="0"/>
    <n v="8"/>
    <n v="4884"/>
    <n v="39072"/>
    <n v="23536.799999999999"/>
    <n v="15535.2"/>
    <x v="1"/>
  </r>
  <r>
    <s v="ORD10953"/>
    <d v="2025-03-23T00:00:00"/>
    <x v="0"/>
    <x v="2"/>
    <x v="2"/>
    <s v="Cabinet"/>
    <x v="3"/>
    <x v="4"/>
    <x v="0"/>
    <n v="8"/>
    <n v="4791"/>
    <n v="38328"/>
    <n v="21646.44"/>
    <n v="16681.560000000001"/>
    <x v="1"/>
  </r>
  <r>
    <s v="ORD10954"/>
    <d v="2024-08-09T00:00:00"/>
    <x v="0"/>
    <x v="2"/>
    <x v="2"/>
    <s v="Cabinet"/>
    <x v="3"/>
    <x v="4"/>
    <x v="1"/>
    <n v="17"/>
    <n v="2518"/>
    <n v="42806"/>
    <n v="27319.39"/>
    <n v="15486.61"/>
    <x v="0"/>
  </r>
  <r>
    <s v="ORD10955"/>
    <d v="2024-04-13T00:00:00"/>
    <x v="3"/>
    <x v="4"/>
    <x v="0"/>
    <s v="Printer Ink"/>
    <x v="4"/>
    <x v="0"/>
    <x v="0"/>
    <n v="11"/>
    <n v="4808"/>
    <n v="52888"/>
    <n v="32706.9"/>
    <n v="20181.099999999999"/>
    <x v="0"/>
  </r>
  <r>
    <s v="ORD10956"/>
    <d v="2025-06-09T00:00:00"/>
    <x v="0"/>
    <x v="2"/>
    <x v="0"/>
    <s v="Paper"/>
    <x v="0"/>
    <x v="0"/>
    <x v="0"/>
    <n v="18"/>
    <n v="3884"/>
    <n v="69912"/>
    <n v="48819.98"/>
    <n v="21092.02"/>
    <x v="1"/>
  </r>
  <r>
    <s v="ORD10957"/>
    <d v="2024-07-17T00:00:00"/>
    <x v="0"/>
    <x v="5"/>
    <x v="2"/>
    <s v="Desk"/>
    <x v="6"/>
    <x v="1"/>
    <x v="0"/>
    <n v="10"/>
    <n v="2689"/>
    <n v="26890"/>
    <n v="20328.73"/>
    <n v="6561.27"/>
    <x v="0"/>
  </r>
  <r>
    <s v="ORD10958"/>
    <d v="2024-11-25T00:00:00"/>
    <x v="1"/>
    <x v="1"/>
    <x v="2"/>
    <s v="Cabinet"/>
    <x v="3"/>
    <x v="5"/>
    <x v="0"/>
    <n v="12"/>
    <n v="3671"/>
    <n v="44052"/>
    <n v="28006.92"/>
    <n v="16045.08"/>
    <x v="0"/>
  </r>
  <r>
    <s v="ORD10959"/>
    <d v="2024-12-26T00:00:00"/>
    <x v="0"/>
    <x v="0"/>
    <x v="0"/>
    <s v="Paper"/>
    <x v="0"/>
    <x v="1"/>
    <x v="0"/>
    <n v="7"/>
    <n v="1306"/>
    <n v="9142"/>
    <n v="6045.72"/>
    <n v="3096.28"/>
    <x v="0"/>
  </r>
  <r>
    <s v="ORD10960"/>
    <d v="2025-02-12T00:00:00"/>
    <x v="0"/>
    <x v="1"/>
    <x v="0"/>
    <s v="Paper"/>
    <x v="0"/>
    <x v="5"/>
    <x v="0"/>
    <n v="8"/>
    <n v="3591"/>
    <n v="28728"/>
    <n v="15870.58"/>
    <n v="12857.42"/>
    <x v="1"/>
  </r>
  <r>
    <s v="ORD10961"/>
    <d v="2025-02-20T00:00:00"/>
    <x v="0"/>
    <x v="0"/>
    <x v="1"/>
    <s v="Phone"/>
    <x v="2"/>
    <x v="3"/>
    <x v="1"/>
    <n v="8"/>
    <n v="2231"/>
    <n v="17848"/>
    <n v="12644.67"/>
    <n v="5203.33"/>
    <x v="1"/>
  </r>
  <r>
    <s v="ORD10962"/>
    <d v="2024-07-28T00:00:00"/>
    <x v="1"/>
    <x v="4"/>
    <x v="2"/>
    <s v="Desk"/>
    <x v="6"/>
    <x v="5"/>
    <x v="1"/>
    <n v="15"/>
    <n v="4925"/>
    <n v="73875"/>
    <n v="60404.94"/>
    <n v="13470.06"/>
    <x v="0"/>
  </r>
  <r>
    <s v="ORD10963"/>
    <d v="2024-08-17T00:00:00"/>
    <x v="3"/>
    <x v="1"/>
    <x v="1"/>
    <s v="Tablet"/>
    <x v="5"/>
    <x v="3"/>
    <x v="1"/>
    <n v="17"/>
    <n v="530"/>
    <n v="9010"/>
    <n v="7594.45"/>
    <n v="1415.55"/>
    <x v="0"/>
  </r>
  <r>
    <s v="ORD10964"/>
    <d v="2024-10-27T00:00:00"/>
    <x v="2"/>
    <x v="2"/>
    <x v="0"/>
    <s v="Printer Ink"/>
    <x v="4"/>
    <x v="2"/>
    <x v="1"/>
    <n v="13"/>
    <n v="4538"/>
    <n v="58994"/>
    <n v="45149.18"/>
    <n v="13844.82"/>
    <x v="0"/>
  </r>
  <r>
    <s v="ORD10965"/>
    <d v="2025-10-03T00:00:00"/>
    <x v="1"/>
    <x v="4"/>
    <x v="1"/>
    <s v="Laptop"/>
    <x v="1"/>
    <x v="5"/>
    <x v="0"/>
    <n v="13"/>
    <n v="1502"/>
    <n v="19526"/>
    <n v="13873.07"/>
    <n v="5652.93"/>
    <x v="1"/>
  </r>
  <r>
    <s v="ORD10966"/>
    <d v="2024-06-22T00:00:00"/>
    <x v="0"/>
    <x v="4"/>
    <x v="0"/>
    <s v="Paper"/>
    <x v="0"/>
    <x v="1"/>
    <x v="0"/>
    <n v="20"/>
    <n v="384"/>
    <n v="7680"/>
    <n v="4284.43"/>
    <n v="3395.57"/>
    <x v="0"/>
  </r>
  <r>
    <s v="ORD10967"/>
    <d v="2024-10-08T00:00:00"/>
    <x v="0"/>
    <x v="0"/>
    <x v="1"/>
    <s v="Tablet"/>
    <x v="5"/>
    <x v="4"/>
    <x v="0"/>
    <n v="3"/>
    <n v="1315"/>
    <n v="3945"/>
    <n v="3318.25"/>
    <n v="626.75"/>
    <x v="0"/>
  </r>
  <r>
    <s v="ORD10968"/>
    <d v="2025-05-31T00:00:00"/>
    <x v="2"/>
    <x v="2"/>
    <x v="1"/>
    <s v="Tablet"/>
    <x v="5"/>
    <x v="3"/>
    <x v="0"/>
    <n v="20"/>
    <n v="4841"/>
    <n v="96820"/>
    <n v="66533.87"/>
    <n v="30286.13"/>
    <x v="1"/>
  </r>
  <r>
    <s v="ORD10969"/>
    <d v="2024-09-13T00:00:00"/>
    <x v="2"/>
    <x v="2"/>
    <x v="1"/>
    <s v="Phone"/>
    <x v="2"/>
    <x v="3"/>
    <x v="0"/>
    <n v="13"/>
    <n v="4644"/>
    <n v="60372"/>
    <n v="47088.57"/>
    <n v="13283.43"/>
    <x v="0"/>
  </r>
  <r>
    <s v="ORD10970"/>
    <d v="2024-07-29T00:00:00"/>
    <x v="2"/>
    <x v="3"/>
    <x v="1"/>
    <s v="Phone"/>
    <x v="2"/>
    <x v="0"/>
    <x v="1"/>
    <n v="17"/>
    <n v="3108"/>
    <n v="52836"/>
    <n v="42862.45"/>
    <n v="9973.5499999999993"/>
    <x v="0"/>
  </r>
  <r>
    <s v="ORD10971"/>
    <d v="2025-03-23T00:00:00"/>
    <x v="1"/>
    <x v="2"/>
    <x v="0"/>
    <s v="Paper"/>
    <x v="0"/>
    <x v="6"/>
    <x v="1"/>
    <n v="19"/>
    <n v="3947"/>
    <n v="74993"/>
    <n v="52048.45"/>
    <n v="22944.55"/>
    <x v="1"/>
  </r>
  <r>
    <s v="ORD10972"/>
    <d v="2024-11-06T00:00:00"/>
    <x v="3"/>
    <x v="4"/>
    <x v="0"/>
    <s v="Pen"/>
    <x v="8"/>
    <x v="7"/>
    <x v="0"/>
    <n v="19"/>
    <n v="4070"/>
    <n v="77330"/>
    <n v="49058.82"/>
    <n v="28271.18"/>
    <x v="0"/>
  </r>
  <r>
    <s v="ORD10973"/>
    <d v="2025-08-26T00:00:00"/>
    <x v="1"/>
    <x v="0"/>
    <x v="2"/>
    <s v="Desk"/>
    <x v="6"/>
    <x v="4"/>
    <x v="0"/>
    <n v="10"/>
    <n v="1022"/>
    <n v="10220"/>
    <n v="6286.48"/>
    <n v="3933.52"/>
    <x v="1"/>
  </r>
  <r>
    <s v="ORD10974"/>
    <d v="2024-07-29T00:00:00"/>
    <x v="3"/>
    <x v="5"/>
    <x v="2"/>
    <s v="Chair"/>
    <x v="7"/>
    <x v="6"/>
    <x v="0"/>
    <n v="17"/>
    <n v="2297"/>
    <n v="39049"/>
    <n v="29389.56"/>
    <n v="9659.44"/>
    <x v="0"/>
  </r>
  <r>
    <s v="ORD10975"/>
    <d v="2024-10-06T00:00:00"/>
    <x v="3"/>
    <x v="1"/>
    <x v="2"/>
    <s v="Desk"/>
    <x v="6"/>
    <x v="0"/>
    <x v="1"/>
    <n v="11"/>
    <n v="4695"/>
    <n v="51645"/>
    <n v="31397.88"/>
    <n v="20247.12"/>
    <x v="0"/>
  </r>
  <r>
    <s v="ORD10976"/>
    <d v="2024-06-09T00:00:00"/>
    <x v="0"/>
    <x v="1"/>
    <x v="0"/>
    <s v="Pen"/>
    <x v="8"/>
    <x v="2"/>
    <x v="0"/>
    <n v="11"/>
    <n v="2977"/>
    <n v="32747"/>
    <n v="24808.89"/>
    <n v="7938.11"/>
    <x v="0"/>
  </r>
  <r>
    <s v="ORD10977"/>
    <d v="2025-07-01T00:00:00"/>
    <x v="0"/>
    <x v="2"/>
    <x v="0"/>
    <s v="Paper"/>
    <x v="0"/>
    <x v="2"/>
    <x v="1"/>
    <n v="3"/>
    <n v="2036"/>
    <n v="6108"/>
    <n v="3963.63"/>
    <n v="2144.37"/>
    <x v="1"/>
  </r>
  <r>
    <s v="ORD10978"/>
    <d v="2025-01-30T00:00:00"/>
    <x v="0"/>
    <x v="1"/>
    <x v="1"/>
    <s v="Phone"/>
    <x v="2"/>
    <x v="0"/>
    <x v="1"/>
    <n v="20"/>
    <n v="4591"/>
    <n v="91820"/>
    <n v="66599.53"/>
    <n v="25220.47"/>
    <x v="1"/>
  </r>
  <r>
    <s v="ORD10979"/>
    <d v="2024-10-03T00:00:00"/>
    <x v="3"/>
    <x v="3"/>
    <x v="1"/>
    <s v="Tablet"/>
    <x v="5"/>
    <x v="3"/>
    <x v="0"/>
    <n v="20"/>
    <n v="1485"/>
    <n v="29700"/>
    <n v="19619.82"/>
    <n v="10080.18"/>
    <x v="0"/>
  </r>
  <r>
    <s v="ORD10980"/>
    <d v="2025-01-31T00:00:00"/>
    <x v="0"/>
    <x v="4"/>
    <x v="1"/>
    <s v="Phone"/>
    <x v="2"/>
    <x v="3"/>
    <x v="1"/>
    <n v="6"/>
    <n v="4844"/>
    <n v="29064"/>
    <n v="16967.419999999998"/>
    <n v="12096.58"/>
    <x v="1"/>
  </r>
  <r>
    <s v="ORD10981"/>
    <d v="2024-10-14T00:00:00"/>
    <x v="0"/>
    <x v="1"/>
    <x v="1"/>
    <s v="Laptop"/>
    <x v="1"/>
    <x v="0"/>
    <x v="1"/>
    <n v="14"/>
    <n v="2074"/>
    <n v="29036"/>
    <n v="23818.92"/>
    <n v="5217.08"/>
    <x v="0"/>
  </r>
  <r>
    <s v="ORD10982"/>
    <d v="2025-12-14T00:00:00"/>
    <x v="2"/>
    <x v="3"/>
    <x v="0"/>
    <s v="Printer Ink"/>
    <x v="4"/>
    <x v="2"/>
    <x v="0"/>
    <n v="9"/>
    <n v="1602"/>
    <n v="14418"/>
    <n v="11408.58"/>
    <n v="3009.42"/>
    <x v="1"/>
  </r>
  <r>
    <s v="ORD10983"/>
    <d v="2025-07-04T00:00:00"/>
    <x v="2"/>
    <x v="4"/>
    <x v="1"/>
    <s v="Tablet"/>
    <x v="5"/>
    <x v="3"/>
    <x v="1"/>
    <n v="14"/>
    <n v="249"/>
    <n v="3486"/>
    <n v="2694.07"/>
    <n v="791.93"/>
    <x v="1"/>
  </r>
  <r>
    <s v="ORD10984"/>
    <d v="2025-06-11T00:00:00"/>
    <x v="3"/>
    <x v="0"/>
    <x v="0"/>
    <s v="Pen"/>
    <x v="8"/>
    <x v="4"/>
    <x v="1"/>
    <n v="20"/>
    <n v="3073"/>
    <n v="61460"/>
    <n v="42320.66"/>
    <n v="19139.34"/>
    <x v="1"/>
  </r>
  <r>
    <s v="ORD10985"/>
    <d v="2025-09-30T00:00:00"/>
    <x v="3"/>
    <x v="4"/>
    <x v="1"/>
    <s v="Laptop"/>
    <x v="1"/>
    <x v="6"/>
    <x v="1"/>
    <n v="10"/>
    <n v="543"/>
    <n v="5430"/>
    <n v="4016.35"/>
    <n v="1413.65"/>
    <x v="1"/>
  </r>
  <r>
    <s v="ORD10986"/>
    <d v="2025-02-19T00:00:00"/>
    <x v="1"/>
    <x v="0"/>
    <x v="1"/>
    <s v="Tablet"/>
    <x v="5"/>
    <x v="7"/>
    <x v="0"/>
    <n v="7"/>
    <n v="1550"/>
    <n v="10850"/>
    <n v="6074.41"/>
    <n v="4775.59"/>
    <x v="1"/>
  </r>
  <r>
    <s v="ORD10987"/>
    <d v="2025-08-03T00:00:00"/>
    <x v="0"/>
    <x v="0"/>
    <x v="1"/>
    <s v="Phone"/>
    <x v="2"/>
    <x v="7"/>
    <x v="1"/>
    <n v="12"/>
    <n v="3278"/>
    <n v="39336"/>
    <n v="24679.63"/>
    <n v="14656.37"/>
    <x v="1"/>
  </r>
  <r>
    <s v="ORD10988"/>
    <d v="2024-09-17T00:00:00"/>
    <x v="1"/>
    <x v="1"/>
    <x v="1"/>
    <s v="Laptop"/>
    <x v="1"/>
    <x v="6"/>
    <x v="0"/>
    <n v="14"/>
    <n v="1653"/>
    <n v="23142"/>
    <n v="17823.310000000001"/>
    <n v="5318.69"/>
    <x v="0"/>
  </r>
  <r>
    <s v="ORD10989"/>
    <d v="2025-04-16T00:00:00"/>
    <x v="1"/>
    <x v="3"/>
    <x v="2"/>
    <s v="Desk"/>
    <x v="6"/>
    <x v="3"/>
    <x v="1"/>
    <n v="15"/>
    <n v="2680"/>
    <n v="40200"/>
    <n v="32115.759999999998"/>
    <n v="8084.24"/>
    <x v="1"/>
  </r>
  <r>
    <s v="ORD10990"/>
    <d v="2025-07-07T00:00:00"/>
    <x v="3"/>
    <x v="2"/>
    <x v="0"/>
    <s v="Pen"/>
    <x v="8"/>
    <x v="6"/>
    <x v="0"/>
    <n v="18"/>
    <n v="234"/>
    <n v="4212"/>
    <n v="3476.04"/>
    <n v="735.96"/>
    <x v="1"/>
  </r>
  <r>
    <s v="ORD10991"/>
    <d v="2025-09-02T00:00:00"/>
    <x v="0"/>
    <x v="3"/>
    <x v="2"/>
    <s v="Cabinet"/>
    <x v="3"/>
    <x v="3"/>
    <x v="0"/>
    <n v="13"/>
    <n v="634"/>
    <n v="8242"/>
    <n v="6901.94"/>
    <n v="1340.06"/>
    <x v="1"/>
  </r>
  <r>
    <s v="ORD10992"/>
    <d v="2024-06-18T00:00:00"/>
    <x v="3"/>
    <x v="5"/>
    <x v="0"/>
    <s v="Pen"/>
    <x v="8"/>
    <x v="0"/>
    <x v="0"/>
    <n v="7"/>
    <n v="1989"/>
    <n v="13923"/>
    <n v="8494.36"/>
    <n v="5428.64"/>
    <x v="0"/>
  </r>
  <r>
    <s v="ORD10993"/>
    <d v="2024-07-10T00:00:00"/>
    <x v="3"/>
    <x v="0"/>
    <x v="1"/>
    <s v="Laptop"/>
    <x v="1"/>
    <x v="1"/>
    <x v="0"/>
    <n v="18"/>
    <n v="1528"/>
    <n v="27504"/>
    <n v="22097.46"/>
    <n v="5406.54"/>
    <x v="0"/>
  </r>
  <r>
    <s v="ORD10994"/>
    <d v="2024-10-09T00:00:00"/>
    <x v="1"/>
    <x v="2"/>
    <x v="2"/>
    <s v="Desk"/>
    <x v="6"/>
    <x v="0"/>
    <x v="1"/>
    <n v="4"/>
    <n v="132"/>
    <n v="528"/>
    <n v="349.35"/>
    <n v="178.65"/>
    <x v="0"/>
  </r>
  <r>
    <s v="ORD10995"/>
    <d v="2025-01-13T00:00:00"/>
    <x v="1"/>
    <x v="2"/>
    <x v="2"/>
    <s v="Cabinet"/>
    <x v="3"/>
    <x v="6"/>
    <x v="0"/>
    <n v="18"/>
    <n v="2307"/>
    <n v="41526"/>
    <n v="29370.6"/>
    <n v="12155.4"/>
    <x v="1"/>
  </r>
  <r>
    <s v="ORD10996"/>
    <d v="2024-12-15T00:00:00"/>
    <x v="0"/>
    <x v="5"/>
    <x v="0"/>
    <s v="Printer Ink"/>
    <x v="4"/>
    <x v="2"/>
    <x v="1"/>
    <n v="18"/>
    <n v="2244"/>
    <n v="40392"/>
    <n v="28468.63"/>
    <n v="11923.37"/>
    <x v="0"/>
  </r>
  <r>
    <s v="ORD10997"/>
    <d v="2025-01-14T00:00:00"/>
    <x v="2"/>
    <x v="4"/>
    <x v="2"/>
    <s v="Desk"/>
    <x v="6"/>
    <x v="5"/>
    <x v="1"/>
    <n v="12"/>
    <n v="342"/>
    <n v="4104"/>
    <n v="2419.09"/>
    <n v="1684.91"/>
    <x v="1"/>
  </r>
  <r>
    <s v="ORD10998"/>
    <d v="2024-10-31T00:00:00"/>
    <x v="2"/>
    <x v="0"/>
    <x v="2"/>
    <s v="Desk"/>
    <x v="6"/>
    <x v="6"/>
    <x v="0"/>
    <n v="13"/>
    <n v="3792"/>
    <n v="49296"/>
    <n v="33141.56"/>
    <n v="16154.44"/>
    <x v="0"/>
  </r>
  <r>
    <s v="ORD10999"/>
    <d v="2025-09-28T00:00:00"/>
    <x v="1"/>
    <x v="5"/>
    <x v="0"/>
    <s v="Printer Ink"/>
    <x v="4"/>
    <x v="4"/>
    <x v="0"/>
    <n v="10"/>
    <n v="4210"/>
    <n v="42100"/>
    <n v="33014.31"/>
    <n v="9085.69"/>
    <x v="1"/>
  </r>
  <r>
    <s v="ORD11000"/>
    <d v="2025-11-30T00:00:00"/>
    <x v="2"/>
    <x v="3"/>
    <x v="1"/>
    <s v="Laptop"/>
    <x v="1"/>
    <x v="7"/>
    <x v="0"/>
    <n v="12"/>
    <n v="589"/>
    <n v="7068"/>
    <n v="5759.57"/>
    <n v="1308.43"/>
    <x v="1"/>
  </r>
  <r>
    <s v="ORD11001"/>
    <d v="2025-06-29T00:00:00"/>
    <x v="3"/>
    <x v="4"/>
    <x v="2"/>
    <s v="Cabinet"/>
    <x v="3"/>
    <x v="2"/>
    <x v="1"/>
    <n v="10"/>
    <n v="2380"/>
    <n v="23800"/>
    <n v="18350.990000000002"/>
    <n v="5449.0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41083A-C4F2-4B61-9D24-D00E17B6DEF4}"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O3:P11" firstHeaderRow="1" firstDataRow="1" firstDataCol="1"/>
  <pivotFields count="15">
    <pivotField showAll="0"/>
    <pivotField numFmtId="164" showAll="0"/>
    <pivotField showAll="0">
      <items count="5">
        <item x="0"/>
        <item x="1"/>
        <item x="3"/>
        <item x="2"/>
        <item t="default"/>
      </items>
    </pivotField>
    <pivotField showAll="0"/>
    <pivotField showAll="0">
      <items count="4">
        <item x="1"/>
        <item x="2"/>
        <item x="0"/>
        <item t="default"/>
      </items>
    </pivotField>
    <pivotField showAll="0"/>
    <pivotField showAll="0">
      <items count="10">
        <item x="3"/>
        <item x="7"/>
        <item x="6"/>
        <item x="1"/>
        <item x="0"/>
        <item x="8"/>
        <item x="2"/>
        <item x="4"/>
        <item x="5"/>
        <item t="default"/>
      </items>
    </pivotField>
    <pivotField axis="axisRow" showAll="0">
      <items count="9">
        <item x="1"/>
        <item x="7"/>
        <item x="4"/>
        <item x="6"/>
        <item x="3"/>
        <item x="5"/>
        <item x="0"/>
        <item x="2"/>
        <item t="default"/>
      </items>
    </pivotField>
    <pivotField showAll="0">
      <items count="3">
        <item x="0"/>
        <item x="1"/>
        <item t="default"/>
      </items>
    </pivotField>
    <pivotField showAll="0"/>
    <pivotField showAll="0"/>
    <pivotField dataField="1" showAll="0"/>
    <pivotField showAll="0"/>
    <pivotField showAll="0"/>
    <pivotField showAll="0"/>
  </pivotFields>
  <rowFields count="1">
    <field x="7"/>
  </rowFields>
  <rowItems count="8">
    <i>
      <x/>
    </i>
    <i>
      <x v="1"/>
    </i>
    <i>
      <x v="2"/>
    </i>
    <i>
      <x v="3"/>
    </i>
    <i>
      <x v="4"/>
    </i>
    <i>
      <x v="5"/>
    </i>
    <i>
      <x v="6"/>
    </i>
    <i>
      <x v="7"/>
    </i>
  </rowItems>
  <colItems count="1">
    <i/>
  </colItems>
  <dataFields count="1">
    <dataField name="Sum of Revenue" fld="11" baseField="0" baseItem="0" numFmtId="165"/>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6E3C03-6621-4CD7-8185-9264A77663BE}"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K3:L12" firstHeaderRow="1" firstDataRow="1" firstDataCol="1"/>
  <pivotFields count="15">
    <pivotField showAll="0"/>
    <pivotField numFmtId="164" showAll="0"/>
    <pivotField showAll="0">
      <items count="5">
        <item x="0"/>
        <item x="1"/>
        <item x="3"/>
        <item x="2"/>
        <item t="default"/>
      </items>
    </pivotField>
    <pivotField showAll="0"/>
    <pivotField showAll="0">
      <items count="4">
        <item x="1"/>
        <item x="2"/>
        <item x="0"/>
        <item t="default"/>
      </items>
    </pivotField>
    <pivotField showAll="0"/>
    <pivotField axis="axisRow" showAll="0">
      <items count="10">
        <item x="3"/>
        <item x="7"/>
        <item x="6"/>
        <item x="1"/>
        <item x="0"/>
        <item x="8"/>
        <item x="2"/>
        <item x="4"/>
        <item x="5"/>
        <item t="default"/>
      </items>
    </pivotField>
    <pivotField showAll="0">
      <items count="9">
        <item x="1"/>
        <item x="7"/>
        <item x="4"/>
        <item x="6"/>
        <item x="3"/>
        <item x="5"/>
        <item x="0"/>
        <item x="2"/>
        <item t="default"/>
      </items>
    </pivotField>
    <pivotField showAll="0">
      <items count="3">
        <item x="0"/>
        <item x="1"/>
        <item t="default"/>
      </items>
    </pivotField>
    <pivotField showAll="0"/>
    <pivotField showAll="0"/>
    <pivotField dataField="1" showAll="0"/>
    <pivotField showAll="0"/>
    <pivotField showAll="0"/>
    <pivotField showAll="0"/>
  </pivotFields>
  <rowFields count="1">
    <field x="6"/>
  </rowFields>
  <rowItems count="9">
    <i>
      <x/>
    </i>
    <i>
      <x v="1"/>
    </i>
    <i>
      <x v="2"/>
    </i>
    <i>
      <x v="3"/>
    </i>
    <i>
      <x v="4"/>
    </i>
    <i>
      <x v="5"/>
    </i>
    <i>
      <x v="6"/>
    </i>
    <i>
      <x v="7"/>
    </i>
    <i>
      <x v="8"/>
    </i>
  </rowItems>
  <colItems count="1">
    <i/>
  </colItems>
  <dataFields count="1">
    <dataField name="Sum of Revenue" fld="11" baseField="0" baseItem="0" numFmtId="165"/>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3CFDD4-50A0-4FE0-9717-BDD4321D80D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T3:U4" firstHeaderRow="0" firstDataRow="1" firstDataCol="0"/>
  <pivotFields count="15">
    <pivotField showAll="0"/>
    <pivotField numFmtId="164" showAll="0"/>
    <pivotField showAll="0">
      <items count="5">
        <item x="0"/>
        <item x="1"/>
        <item x="3"/>
        <item x="2"/>
        <item t="default"/>
      </items>
    </pivotField>
    <pivotField showAll="0"/>
    <pivotField showAll="0">
      <items count="4">
        <item x="1"/>
        <item x="2"/>
        <item x="0"/>
        <item t="default"/>
      </items>
    </pivotField>
    <pivotField showAll="0"/>
    <pivotField showAll="0">
      <items count="10">
        <item x="3"/>
        <item x="7"/>
        <item x="6"/>
        <item x="1"/>
        <item x="0"/>
        <item x="8"/>
        <item x="2"/>
        <item x="4"/>
        <item x="5"/>
        <item t="default"/>
      </items>
    </pivotField>
    <pivotField showAll="0">
      <items count="9">
        <item x="1"/>
        <item x="7"/>
        <item x="4"/>
        <item x="6"/>
        <item x="3"/>
        <item x="5"/>
        <item x="0"/>
        <item x="2"/>
        <item t="default"/>
      </items>
    </pivotField>
    <pivotField showAll="0">
      <items count="3">
        <item x="0"/>
        <item x="1"/>
        <item t="default"/>
      </items>
    </pivotField>
    <pivotField showAll="0"/>
    <pivotField showAll="0"/>
    <pivotField dataField="1" showAll="0"/>
    <pivotField showAll="0"/>
    <pivotField dataField="1" showAll="0"/>
    <pivotField showAll="0"/>
  </pivotFields>
  <rowItems count="1">
    <i/>
  </rowItems>
  <colFields count="1">
    <field x="-2"/>
  </colFields>
  <colItems count="2">
    <i>
      <x/>
    </i>
    <i i="1">
      <x v="1"/>
    </i>
  </colItems>
  <dataFields count="2">
    <dataField name="Sum of Revenue" fld="11" baseField="0" baseItem="0" numFmtId="165"/>
    <dataField name="Sum of Profit"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65A849-6357-4BD5-B1FD-12C692C66D95}"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H3:I5" firstHeaderRow="1" firstDataRow="1" firstDataCol="1"/>
  <pivotFields count="15">
    <pivotField showAll="0"/>
    <pivotField numFmtId="164" showAll="0"/>
    <pivotField showAll="0">
      <items count="5">
        <item x="0"/>
        <item x="1"/>
        <item x="3"/>
        <item x="2"/>
        <item t="default"/>
      </items>
    </pivotField>
    <pivotField showAll="0"/>
    <pivotField showAll="0">
      <items count="4">
        <item x="1"/>
        <item x="2"/>
        <item x="0"/>
        <item t="default"/>
      </items>
    </pivotField>
    <pivotField showAll="0"/>
    <pivotField showAll="0"/>
    <pivotField showAll="0"/>
    <pivotField showAll="0">
      <items count="3">
        <item x="0"/>
        <item x="1"/>
        <item t="default"/>
      </items>
    </pivotField>
    <pivotField showAll="0"/>
    <pivotField showAll="0"/>
    <pivotField dataField="1" showAll="0"/>
    <pivotField showAll="0"/>
    <pivotField showAll="0"/>
    <pivotField axis="axisRow" showAll="0">
      <items count="3">
        <item x="0"/>
        <item x="1"/>
        <item t="default"/>
      </items>
    </pivotField>
  </pivotFields>
  <rowFields count="1">
    <field x="14"/>
  </rowFields>
  <rowItems count="2">
    <i>
      <x/>
    </i>
    <i>
      <x v="1"/>
    </i>
  </rowItems>
  <colItems count="1">
    <i/>
  </colItems>
  <dataFields count="1">
    <dataField name="Sum of Revenue" fld="11" baseField="0" baseItem="0" numFmtId="165"/>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5337AB-B939-44BE-A87A-93E749D9EC59}"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A3:AB9" firstHeaderRow="1" firstDataRow="1" firstDataCol="1"/>
  <pivotFields count="15">
    <pivotField showAll="0"/>
    <pivotField numFmtId="164" showAll="0"/>
    <pivotField showAll="0">
      <items count="5">
        <item x="0"/>
        <item x="1"/>
        <item x="3"/>
        <item x="2"/>
        <item t="default"/>
      </items>
    </pivotField>
    <pivotField axis="axisRow" showAll="0">
      <items count="7">
        <item x="4"/>
        <item x="1"/>
        <item x="5"/>
        <item x="2"/>
        <item x="3"/>
        <item x="0"/>
        <item t="default"/>
      </items>
    </pivotField>
    <pivotField showAll="0">
      <items count="4">
        <item x="1"/>
        <item x="2"/>
        <item x="0"/>
        <item t="default"/>
      </items>
    </pivotField>
    <pivotField showAll="0"/>
    <pivotField showAll="0">
      <items count="10">
        <item x="3"/>
        <item x="7"/>
        <item x="6"/>
        <item x="1"/>
        <item x="0"/>
        <item x="8"/>
        <item x="2"/>
        <item x="4"/>
        <item x="5"/>
        <item t="default"/>
      </items>
    </pivotField>
    <pivotField showAll="0">
      <items count="9">
        <item x="1"/>
        <item x="7"/>
        <item x="4"/>
        <item x="6"/>
        <item x="3"/>
        <item x="5"/>
        <item x="0"/>
        <item x="2"/>
        <item t="default"/>
      </items>
    </pivotField>
    <pivotField showAll="0">
      <items count="3">
        <item x="0"/>
        <item x="1"/>
        <item t="default"/>
      </items>
    </pivotField>
    <pivotField showAll="0"/>
    <pivotField showAll="0"/>
    <pivotField dataField="1" showAll="0"/>
    <pivotField showAll="0"/>
    <pivotField showAll="0"/>
    <pivotField showAll="0"/>
  </pivotFields>
  <rowFields count="1">
    <field x="3"/>
  </rowFields>
  <rowItems count="6">
    <i>
      <x/>
    </i>
    <i>
      <x v="1"/>
    </i>
    <i>
      <x v="2"/>
    </i>
    <i>
      <x v="3"/>
    </i>
    <i>
      <x v="4"/>
    </i>
    <i>
      <x v="5"/>
    </i>
  </rowItems>
  <colItems count="1">
    <i/>
  </colItems>
  <dataFields count="1">
    <dataField name="Sum of Revenue" fld="11" baseField="0" baseItem="0" numFmtId="165"/>
  </dataFields>
  <formats count="3">
    <format dxfId="40">
      <pivotArea collapsedLevelsAreSubtotals="1" fieldPosition="0">
        <references count="1">
          <reference field="3" count="1">
            <x v="0"/>
          </reference>
        </references>
      </pivotArea>
    </format>
    <format dxfId="39">
      <pivotArea outline="0" collapsedLevelsAreSubtotals="1" fieldPosition="0"/>
    </format>
    <format dxfId="38">
      <pivotArea outline="0" fieldPosition="0">
        <references count="1">
          <reference field="4294967294" count="1">
            <x v="0"/>
          </reference>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38EA58-8E48-4395-ADB3-26639BFA7C2B}"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W3:X5" firstHeaderRow="1" firstDataRow="1" firstDataCol="1"/>
  <pivotFields count="15">
    <pivotField showAll="0"/>
    <pivotField numFmtId="164" showAll="0"/>
    <pivotField showAll="0">
      <items count="5">
        <item x="0"/>
        <item x="1"/>
        <item x="3"/>
        <item x="2"/>
        <item t="default"/>
      </items>
    </pivotField>
    <pivotField showAll="0"/>
    <pivotField showAll="0">
      <items count="4">
        <item x="1"/>
        <item x="2"/>
        <item x="0"/>
        <item t="default"/>
      </items>
    </pivotField>
    <pivotField showAll="0"/>
    <pivotField showAll="0">
      <items count="10">
        <item x="3"/>
        <item x="7"/>
        <item x="6"/>
        <item x="1"/>
        <item x="0"/>
        <item x="8"/>
        <item x="2"/>
        <item x="4"/>
        <item x="5"/>
        <item t="default"/>
      </items>
    </pivotField>
    <pivotField showAll="0">
      <items count="9">
        <item x="1"/>
        <item x="7"/>
        <item x="4"/>
        <item x="6"/>
        <item x="3"/>
        <item x="5"/>
        <item x="0"/>
        <item x="2"/>
        <item t="default"/>
      </items>
    </pivotField>
    <pivotField axis="axisRow" showAll="0">
      <items count="3">
        <item x="0"/>
        <item x="1"/>
        <item t="default"/>
      </items>
    </pivotField>
    <pivotField showAll="0"/>
    <pivotField showAll="0"/>
    <pivotField dataField="1" showAll="0"/>
    <pivotField showAll="0"/>
    <pivotField showAll="0"/>
    <pivotField showAll="0"/>
  </pivotFields>
  <rowFields count="1">
    <field x="8"/>
  </rowFields>
  <rowItems count="2">
    <i>
      <x/>
    </i>
    <i>
      <x v="1"/>
    </i>
  </rowItems>
  <colItems count="1">
    <i/>
  </colItems>
  <dataFields count="1">
    <dataField name="Sum of Revenue" fld="11" baseField="0" baseItem="0" numFmtId="165"/>
  </dataFields>
  <formats count="3">
    <format dxfId="43">
      <pivotArea collapsedLevelsAreSubtotals="1" fieldPosition="0">
        <references count="1">
          <reference field="8" count="1">
            <x v="0"/>
          </reference>
        </references>
      </pivotArea>
    </format>
    <format dxfId="42">
      <pivotArea collapsedLevelsAreSubtotals="1" fieldPosition="0">
        <references count="1">
          <reference field="8" count="1">
            <x v="1"/>
          </reference>
        </references>
      </pivotArea>
    </format>
    <format dxfId="41">
      <pivotArea outline="0" fieldPosition="0">
        <references count="1">
          <reference field="4294967294" count="1">
            <x v="0"/>
          </reference>
        </references>
      </pivotArea>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8DF65C-097A-4A26-920C-324FC7B71A7E}"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E3:F6" firstHeaderRow="1" firstDataRow="1" firstDataCol="1"/>
  <pivotFields count="15">
    <pivotField showAll="0"/>
    <pivotField numFmtId="164" showAll="0"/>
    <pivotField showAll="0">
      <items count="5">
        <item x="0"/>
        <item x="1"/>
        <item x="3"/>
        <item x="2"/>
        <item t="default"/>
      </items>
    </pivotField>
    <pivotField showAll="0"/>
    <pivotField axis="axisRow" showAll="0">
      <items count="4">
        <item x="1"/>
        <item x="2"/>
        <item x="0"/>
        <item t="default"/>
      </items>
    </pivotField>
    <pivotField showAll="0"/>
    <pivotField showAll="0"/>
    <pivotField showAll="0"/>
    <pivotField showAll="0">
      <items count="3">
        <item x="0"/>
        <item x="1"/>
        <item t="default"/>
      </items>
    </pivotField>
    <pivotField showAll="0"/>
    <pivotField showAll="0"/>
    <pivotField dataField="1" showAll="0"/>
    <pivotField showAll="0"/>
    <pivotField showAll="0"/>
    <pivotField showAll="0"/>
  </pivotFields>
  <rowFields count="1">
    <field x="4"/>
  </rowFields>
  <rowItems count="3">
    <i>
      <x/>
    </i>
    <i>
      <x v="1"/>
    </i>
    <i>
      <x v="2"/>
    </i>
  </rowItems>
  <colItems count="1">
    <i/>
  </colItems>
  <dataFields count="1">
    <dataField name="Sum of Revenue" fld="11" baseField="0" baseItem="0" numFmtId="165"/>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679852-9335-4EA6-947D-1790710010E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7" firstHeaderRow="1" firstDataRow="1" firstDataCol="1"/>
  <pivotFields count="15">
    <pivotField showAll="0"/>
    <pivotField numFmtId="164" showAll="0"/>
    <pivotField axis="axisRow" showAll="0">
      <items count="5">
        <item x="0"/>
        <item x="1"/>
        <item x="3"/>
        <item x="2"/>
        <item t="default"/>
      </items>
    </pivotField>
    <pivotField showAll="0"/>
    <pivotField showAll="0">
      <items count="4">
        <item x="1"/>
        <item x="2"/>
        <item x="0"/>
        <item t="default"/>
      </items>
    </pivotField>
    <pivotField showAll="0"/>
    <pivotField showAll="0"/>
    <pivotField showAll="0"/>
    <pivotField showAll="0">
      <items count="3">
        <item x="0"/>
        <item x="1"/>
        <item t="default"/>
      </items>
    </pivotField>
    <pivotField showAll="0"/>
    <pivotField showAll="0"/>
    <pivotField dataField="1" showAll="0"/>
    <pivotField showAll="0"/>
    <pivotField showAll="0"/>
    <pivotField showAll="0"/>
  </pivotFields>
  <rowFields count="1">
    <field x="2"/>
  </rowFields>
  <rowItems count="4">
    <i>
      <x/>
    </i>
    <i>
      <x v="1"/>
    </i>
    <i>
      <x v="2"/>
    </i>
    <i>
      <x v="3"/>
    </i>
  </rowItems>
  <colItems count="1">
    <i/>
  </colItems>
  <dataFields count="1">
    <dataField name="Sum of Revenue" fld="11" baseField="0" baseItem="0" numFmtId="165"/>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CF87B3-5F41-4C2E-BE88-76E70D24C084}"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410497348">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99AEF9-AA65-4B62-9FA7-FCECC3A94583}" sourceName="Category">
  <pivotTables>
    <pivotTable tabId="3" name="PivotTable1"/>
    <pivotTable tabId="3" name="PivotTable3"/>
    <pivotTable tabId="3" name="PivotTable4"/>
    <pivotTable tabId="3" name="PivotTable5"/>
    <pivotTable tabId="3" name="PivotTable6"/>
    <pivotTable tabId="3" name="PivotTable7"/>
    <pivotTable tabId="3" name="PivotTable8"/>
  </pivotTables>
  <data>
    <tabular pivotCacheId="41049734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6081F0E-A5BA-44A1-89D7-4282AA5835D7}" sourceName="Customer_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41049734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C8438F0-E263-4088-ACD3-C47A0FD55C12}" cache="Slicer_Region" caption="Region" rowHeight="234950"/>
  <slicer name="Category" xr10:uid="{BAB7EBD6-9492-4326-9462-A6A5562F2CF7}" cache="Slicer_Category" caption="Category" rowHeight="234950"/>
  <slicer name="Customer_Type" xr10:uid="{C1E6C0D8-C4EF-480E-B126-A4E6D8E5EA64}" cache="Slicer_Customer_Type" caption="Customer_Type"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191CEE-022F-4C9A-8D64-307EBD66807B}" name="Table1" displayName="Table1" ref="A1:O1001" totalsRowShown="0">
  <autoFilter ref="A1:O1001" xr:uid="{BC191CEE-022F-4C9A-8D64-307EBD66807B}"/>
  <tableColumns count="15">
    <tableColumn id="1" xr3:uid="{4D9B9B84-CFFE-492A-9FF3-934B8D2A5967}" name="Order_ID"/>
    <tableColumn id="2" xr3:uid="{CB0BCFD9-83FC-48D7-B782-7E565327B948}" name="Order_Date" dataDxfId="37"/>
    <tableColumn id="3" xr3:uid="{42737732-8A3B-4674-A116-2DF2CD2BF2E8}" name="Region"/>
    <tableColumn id="4" xr3:uid="{34CD9C06-AC40-4195-B790-B213C396A6B2}" name="State"/>
    <tableColumn id="5" xr3:uid="{A312A96C-2172-442D-B27D-9E902CB3F1D5}" name="Category"/>
    <tableColumn id="6" xr3:uid="{A70B50D7-E48D-4919-B73C-0A51C5DBAAC1}" name="Sub_Category"/>
    <tableColumn id="7" xr3:uid="{8C00C7C3-4CB2-4A38-BA9F-61BCB9162195}" name="Product"/>
    <tableColumn id="8" xr3:uid="{03B2192D-74A2-4103-951A-939717728196}" name="Salesperson"/>
    <tableColumn id="9" xr3:uid="{654F3252-17E7-463C-8A1E-E547B4AB19D7}" name="Customer_Type"/>
    <tableColumn id="10" xr3:uid="{0C4CE7FE-FC0F-4892-AB23-E2D815C0259D}" name="Units_Sold"/>
    <tableColumn id="11" xr3:uid="{4403A90A-2497-45AD-B1F0-408D607B9A52}" name="Unit_Price"/>
    <tableColumn id="12" xr3:uid="{29869917-A3DC-4117-905C-80C738714CF5}" name="Revenue"/>
    <tableColumn id="13" xr3:uid="{63749308-CB80-4C35-9EA7-8C909BEDB151}" name="Cost"/>
    <tableColumn id="14" xr3:uid="{B75190C8-A116-4C14-8EBF-C58EA51A9DC0}" name="Profit"/>
    <tableColumn id="15" xr3:uid="{B17177A3-1173-48CD-AC37-451D943757E5}" name="Year" dataDxfId="36">
      <calculatedColumnFormula>TEXT(Table1[[#This Row],[Order_Date]],"yyy")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96ADE-B77C-4E8A-907D-0FA1F685DC29}">
  <dimension ref="A3:AB12"/>
  <sheetViews>
    <sheetView topLeftCell="U1" workbookViewId="0">
      <selection activeCell="AI13" sqref="AI13"/>
    </sheetView>
  </sheetViews>
  <sheetFormatPr defaultRowHeight="14.4" x14ac:dyDescent="0.3"/>
  <cols>
    <col min="1" max="1" width="12.5546875" bestFit="1" customWidth="1"/>
    <col min="2" max="2" width="14.88671875" bestFit="1" customWidth="1"/>
    <col min="5" max="5" width="13.109375" bestFit="1" customWidth="1"/>
    <col min="6" max="6" width="14.88671875" bestFit="1" customWidth="1"/>
    <col min="8" max="8" width="12.5546875" bestFit="1" customWidth="1"/>
    <col min="9" max="9" width="14.88671875" bestFit="1" customWidth="1"/>
    <col min="11" max="11" width="12.5546875" bestFit="1" customWidth="1"/>
    <col min="12" max="12" width="14.88671875" bestFit="1" customWidth="1"/>
    <col min="15" max="15" width="12.5546875" bestFit="1" customWidth="1"/>
    <col min="16" max="16" width="14.88671875" bestFit="1" customWidth="1"/>
    <col min="20" max="20" width="14.88671875" bestFit="1" customWidth="1"/>
    <col min="21" max="21" width="12.109375" bestFit="1" customWidth="1"/>
    <col min="23" max="23" width="12.5546875" bestFit="1" customWidth="1"/>
    <col min="24" max="24" width="14.88671875" bestFit="1" customWidth="1"/>
    <col min="27" max="27" width="12.5546875" bestFit="1" customWidth="1"/>
    <col min="28" max="28" width="14.88671875" bestFit="1" customWidth="1"/>
  </cols>
  <sheetData>
    <row r="3" spans="1:28" x14ac:dyDescent="0.3">
      <c r="A3" s="2" t="s">
        <v>0</v>
      </c>
      <c r="B3" t="s">
        <v>1</v>
      </c>
      <c r="E3" s="2" t="s">
        <v>0</v>
      </c>
      <c r="F3" t="s">
        <v>1</v>
      </c>
      <c r="H3" s="2" t="s">
        <v>0</v>
      </c>
      <c r="I3" t="s">
        <v>1</v>
      </c>
      <c r="K3" s="2" t="s">
        <v>0</v>
      </c>
      <c r="L3" t="s">
        <v>1</v>
      </c>
      <c r="O3" s="2" t="s">
        <v>0</v>
      </c>
      <c r="P3" t="s">
        <v>1</v>
      </c>
      <c r="T3" t="s">
        <v>1</v>
      </c>
      <c r="U3" t="s">
        <v>2</v>
      </c>
      <c r="W3" s="2" t="s">
        <v>0</v>
      </c>
      <c r="X3" t="s">
        <v>1</v>
      </c>
      <c r="AA3" s="2" t="s">
        <v>0</v>
      </c>
      <c r="AB3" t="s">
        <v>1</v>
      </c>
    </row>
    <row r="4" spans="1:28" x14ac:dyDescent="0.3">
      <c r="A4" s="3" t="s">
        <v>3</v>
      </c>
      <c r="B4" s="4">
        <v>7508381</v>
      </c>
      <c r="E4" s="3" t="s">
        <v>4</v>
      </c>
      <c r="F4" s="4">
        <v>10593860</v>
      </c>
      <c r="H4" s="3" t="s">
        <v>5</v>
      </c>
      <c r="I4" s="4">
        <v>14734396</v>
      </c>
      <c r="K4" s="3" t="s">
        <v>6</v>
      </c>
      <c r="L4" s="4">
        <v>3329359</v>
      </c>
      <c r="O4" s="3" t="s">
        <v>7</v>
      </c>
      <c r="P4" s="4">
        <v>3413196</v>
      </c>
      <c r="T4" s="4">
        <v>28574621</v>
      </c>
      <c r="U4" s="4">
        <v>8576912.3599999994</v>
      </c>
      <c r="W4" s="3" t="s">
        <v>8</v>
      </c>
      <c r="X4" s="4">
        <v>13362931</v>
      </c>
      <c r="AA4" s="3" t="s">
        <v>9</v>
      </c>
      <c r="AB4" s="4">
        <v>5284851</v>
      </c>
    </row>
    <row r="5" spans="1:28" x14ac:dyDescent="0.3">
      <c r="A5" s="3" t="s">
        <v>10</v>
      </c>
      <c r="B5" s="4">
        <v>6990416</v>
      </c>
      <c r="E5" s="3" t="s">
        <v>11</v>
      </c>
      <c r="F5" s="4">
        <v>9708373</v>
      </c>
      <c r="H5" s="3" t="s">
        <v>12</v>
      </c>
      <c r="I5" s="4">
        <v>13840225</v>
      </c>
      <c r="K5" s="3" t="s">
        <v>13</v>
      </c>
      <c r="L5" s="4">
        <v>2618254</v>
      </c>
      <c r="O5" s="3" t="s">
        <v>14</v>
      </c>
      <c r="P5" s="4">
        <v>3508777</v>
      </c>
      <c r="W5" s="3" t="s">
        <v>15</v>
      </c>
      <c r="X5" s="4">
        <v>15211690</v>
      </c>
      <c r="AA5" s="3" t="s">
        <v>16</v>
      </c>
      <c r="AB5" s="4">
        <v>5524143</v>
      </c>
    </row>
    <row r="6" spans="1:28" x14ac:dyDescent="0.3">
      <c r="A6" s="3" t="s">
        <v>17</v>
      </c>
      <c r="B6" s="4">
        <v>6877222</v>
      </c>
      <c r="E6" s="3" t="s">
        <v>18</v>
      </c>
      <c r="F6" s="4">
        <v>8272388</v>
      </c>
      <c r="K6" s="3" t="s">
        <v>19</v>
      </c>
      <c r="L6" s="4">
        <v>3760760</v>
      </c>
      <c r="O6" s="3" t="s">
        <v>20</v>
      </c>
      <c r="P6" s="4">
        <v>3307073</v>
      </c>
      <c r="AA6" s="3" t="s">
        <v>21</v>
      </c>
      <c r="AB6" s="4">
        <v>4165802</v>
      </c>
    </row>
    <row r="7" spans="1:28" x14ac:dyDescent="0.3">
      <c r="A7" s="3" t="s">
        <v>22</v>
      </c>
      <c r="B7" s="4">
        <v>7198602</v>
      </c>
      <c r="K7" s="3" t="s">
        <v>23</v>
      </c>
      <c r="L7" s="4">
        <v>3742314</v>
      </c>
      <c r="O7" s="3" t="s">
        <v>24</v>
      </c>
      <c r="P7" s="4">
        <v>3495738</v>
      </c>
      <c r="AA7" s="3" t="s">
        <v>25</v>
      </c>
      <c r="AB7" s="4">
        <v>4834553</v>
      </c>
    </row>
    <row r="8" spans="1:28" x14ac:dyDescent="0.3">
      <c r="K8" s="3" t="s">
        <v>26</v>
      </c>
      <c r="L8" s="4">
        <v>3192584</v>
      </c>
      <c r="O8" s="3" t="s">
        <v>27</v>
      </c>
      <c r="P8" s="4">
        <v>3577205</v>
      </c>
      <c r="AA8" s="3" t="s">
        <v>28</v>
      </c>
      <c r="AB8" s="4">
        <v>3701332</v>
      </c>
    </row>
    <row r="9" spans="1:28" x14ac:dyDescent="0.3">
      <c r="K9" s="3" t="s">
        <v>29</v>
      </c>
      <c r="L9" s="4">
        <v>2464516</v>
      </c>
      <c r="O9" s="3" t="s">
        <v>30</v>
      </c>
      <c r="P9" s="4">
        <v>3813892</v>
      </c>
      <c r="AA9" s="3" t="s">
        <v>31</v>
      </c>
      <c r="AB9" s="4">
        <v>5063940</v>
      </c>
    </row>
    <row r="10" spans="1:28" x14ac:dyDescent="0.3">
      <c r="K10" s="3" t="s">
        <v>32</v>
      </c>
      <c r="L10" s="4">
        <v>3143205</v>
      </c>
      <c r="O10" s="3" t="s">
        <v>33</v>
      </c>
      <c r="P10" s="4">
        <v>3677520</v>
      </c>
    </row>
    <row r="11" spans="1:28" x14ac:dyDescent="0.3">
      <c r="K11" s="3" t="s">
        <v>34</v>
      </c>
      <c r="L11" s="4">
        <v>2615288</v>
      </c>
      <c r="O11" s="3" t="s">
        <v>35</v>
      </c>
      <c r="P11" s="4">
        <v>3781220</v>
      </c>
    </row>
    <row r="12" spans="1:28" x14ac:dyDescent="0.3">
      <c r="K12" s="3" t="s">
        <v>36</v>
      </c>
      <c r="L12" s="4">
        <v>3708341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workbookViewId="0">
      <selection activeCell="A2" sqref="A2"/>
    </sheetView>
  </sheetViews>
  <sheetFormatPr defaultRowHeight="14.4" x14ac:dyDescent="0.3"/>
  <cols>
    <col min="1" max="1" width="10.44140625" customWidth="1"/>
    <col min="2" max="2" width="12.5546875" customWidth="1"/>
    <col min="5" max="5" width="10.44140625" customWidth="1"/>
    <col min="6" max="6" width="14.6640625" customWidth="1"/>
    <col min="7" max="7" width="9.5546875" customWidth="1"/>
    <col min="8" max="8" width="12.88671875" customWidth="1"/>
    <col min="9" max="9" width="16.109375" customWidth="1"/>
    <col min="10" max="10" width="11.88671875" customWidth="1"/>
    <col min="11" max="11" width="11.5546875" customWidth="1"/>
    <col min="12" max="12" width="10.33203125" customWidth="1"/>
  </cols>
  <sheetData>
    <row r="1" spans="1:15" x14ac:dyDescent="0.3">
      <c r="A1" t="s">
        <v>37</v>
      </c>
      <c r="B1" t="s">
        <v>38</v>
      </c>
      <c r="C1" t="s">
        <v>39</v>
      </c>
      <c r="D1" t="s">
        <v>40</v>
      </c>
      <c r="E1" t="s">
        <v>41</v>
      </c>
      <c r="F1" t="s">
        <v>42</v>
      </c>
      <c r="G1" t="s">
        <v>43</v>
      </c>
      <c r="H1" t="s">
        <v>44</v>
      </c>
      <c r="I1" t="s">
        <v>45</v>
      </c>
      <c r="J1" t="s">
        <v>46</v>
      </c>
      <c r="K1" t="s">
        <v>47</v>
      </c>
      <c r="L1" t="s">
        <v>48</v>
      </c>
      <c r="M1" t="s">
        <v>49</v>
      </c>
      <c r="N1" t="s">
        <v>50</v>
      </c>
      <c r="O1" t="s">
        <v>51</v>
      </c>
    </row>
    <row r="2" spans="1:15" x14ac:dyDescent="0.3">
      <c r="A2" t="s">
        <v>52</v>
      </c>
      <c r="B2" s="1">
        <v>45309</v>
      </c>
      <c r="C2" t="s">
        <v>3</v>
      </c>
      <c r="D2" t="s">
        <v>31</v>
      </c>
      <c r="E2" t="s">
        <v>18</v>
      </c>
      <c r="F2" t="s">
        <v>26</v>
      </c>
      <c r="G2" t="s">
        <v>26</v>
      </c>
      <c r="H2" t="s">
        <v>33</v>
      </c>
      <c r="I2" t="s">
        <v>8</v>
      </c>
      <c r="J2">
        <v>14</v>
      </c>
      <c r="K2">
        <v>4439</v>
      </c>
      <c r="L2">
        <v>62146</v>
      </c>
      <c r="M2">
        <v>49627.22</v>
      </c>
      <c r="N2">
        <v>12518.78</v>
      </c>
      <c r="O2" t="str">
        <f>TEXT(Table1[[#This Row],[Order_Date]],"yyy")</f>
        <v>2024</v>
      </c>
    </row>
    <row r="3" spans="1:15" x14ac:dyDescent="0.3">
      <c r="A3" t="s">
        <v>53</v>
      </c>
      <c r="B3" s="1">
        <v>45960</v>
      </c>
      <c r="C3" t="s">
        <v>10</v>
      </c>
      <c r="D3" t="s">
        <v>31</v>
      </c>
      <c r="E3" t="s">
        <v>4</v>
      </c>
      <c r="F3" t="s">
        <v>23</v>
      </c>
      <c r="G3" t="s">
        <v>23</v>
      </c>
      <c r="H3" t="s">
        <v>7</v>
      </c>
      <c r="I3" t="s">
        <v>8</v>
      </c>
      <c r="J3">
        <v>1</v>
      </c>
      <c r="K3">
        <v>4854</v>
      </c>
      <c r="L3">
        <v>4854</v>
      </c>
      <c r="M3">
        <v>3829.84</v>
      </c>
      <c r="N3">
        <v>1024.1600000000001</v>
      </c>
      <c r="O3" t="str">
        <f>TEXT(Table1[[#This Row],[Order_Date]],"yyy")</f>
        <v>2025</v>
      </c>
    </row>
    <row r="4" spans="1:15" x14ac:dyDescent="0.3">
      <c r="A4" t="s">
        <v>54</v>
      </c>
      <c r="B4" s="1">
        <v>45995</v>
      </c>
      <c r="C4" t="s">
        <v>3</v>
      </c>
      <c r="D4" t="s">
        <v>16</v>
      </c>
      <c r="E4" t="s">
        <v>18</v>
      </c>
      <c r="F4" t="s">
        <v>26</v>
      </c>
      <c r="G4" t="s">
        <v>26</v>
      </c>
      <c r="H4" t="s">
        <v>35</v>
      </c>
      <c r="I4" t="s">
        <v>15</v>
      </c>
      <c r="J4">
        <v>8</v>
      </c>
      <c r="K4">
        <v>1475</v>
      </c>
      <c r="L4">
        <v>11800</v>
      </c>
      <c r="M4">
        <v>8263.26</v>
      </c>
      <c r="N4">
        <v>3536.74</v>
      </c>
      <c r="O4" t="str">
        <f>TEXT(Table1[[#This Row],[Order_Date]],"yyy")</f>
        <v>2025</v>
      </c>
    </row>
    <row r="5" spans="1:15" x14ac:dyDescent="0.3">
      <c r="A5" t="s">
        <v>55</v>
      </c>
      <c r="B5" s="1">
        <v>45877</v>
      </c>
      <c r="C5" t="s">
        <v>22</v>
      </c>
      <c r="D5" t="s">
        <v>31</v>
      </c>
      <c r="E5" t="s">
        <v>4</v>
      </c>
      <c r="F5" t="s">
        <v>32</v>
      </c>
      <c r="G5" t="s">
        <v>32</v>
      </c>
      <c r="H5" t="s">
        <v>33</v>
      </c>
      <c r="I5" t="s">
        <v>8</v>
      </c>
      <c r="J5">
        <v>18</v>
      </c>
      <c r="K5">
        <v>4293</v>
      </c>
      <c r="L5">
        <v>77274</v>
      </c>
      <c r="M5">
        <v>53392.22</v>
      </c>
      <c r="N5">
        <v>23881.78</v>
      </c>
      <c r="O5" t="str">
        <f>TEXT(Table1[[#This Row],[Order_Date]],"yyy")</f>
        <v>2025</v>
      </c>
    </row>
    <row r="6" spans="1:15" x14ac:dyDescent="0.3">
      <c r="A6" t="s">
        <v>56</v>
      </c>
      <c r="B6" s="1">
        <v>45606</v>
      </c>
      <c r="C6" t="s">
        <v>10</v>
      </c>
      <c r="D6" t="s">
        <v>25</v>
      </c>
      <c r="E6" t="s">
        <v>11</v>
      </c>
      <c r="F6" t="s">
        <v>6</v>
      </c>
      <c r="G6" t="s">
        <v>6</v>
      </c>
      <c r="H6" t="s">
        <v>7</v>
      </c>
      <c r="I6" t="s">
        <v>15</v>
      </c>
      <c r="J6">
        <v>9</v>
      </c>
      <c r="K6">
        <v>4194</v>
      </c>
      <c r="L6">
        <v>37746</v>
      </c>
      <c r="M6">
        <v>27261.45</v>
      </c>
      <c r="N6">
        <v>10484.549999999999</v>
      </c>
      <c r="O6" t="str">
        <f>TEXT(Table1[[#This Row],[Order_Date]],"yyy")</f>
        <v>2024</v>
      </c>
    </row>
    <row r="7" spans="1:15" x14ac:dyDescent="0.3">
      <c r="A7" t="s">
        <v>57</v>
      </c>
      <c r="B7" s="1">
        <v>45526</v>
      </c>
      <c r="C7" t="s">
        <v>22</v>
      </c>
      <c r="D7" t="s">
        <v>16</v>
      </c>
      <c r="E7" t="s">
        <v>18</v>
      </c>
      <c r="F7" t="s">
        <v>26</v>
      </c>
      <c r="G7" t="s">
        <v>26</v>
      </c>
      <c r="H7" t="s">
        <v>27</v>
      </c>
      <c r="I7" t="s">
        <v>15</v>
      </c>
      <c r="J7">
        <v>20</v>
      </c>
      <c r="K7">
        <v>219</v>
      </c>
      <c r="L7">
        <v>4380</v>
      </c>
      <c r="M7">
        <v>3585.74</v>
      </c>
      <c r="N7">
        <v>794.26</v>
      </c>
      <c r="O7" t="str">
        <f>TEXT(Table1[[#This Row],[Order_Date]],"yyy")</f>
        <v>2024</v>
      </c>
    </row>
    <row r="8" spans="1:15" x14ac:dyDescent="0.3">
      <c r="A8" t="s">
        <v>58</v>
      </c>
      <c r="B8" s="1">
        <v>45340</v>
      </c>
      <c r="C8" t="s">
        <v>3</v>
      </c>
      <c r="D8" t="s">
        <v>28</v>
      </c>
      <c r="E8" t="s">
        <v>18</v>
      </c>
      <c r="F8" t="s">
        <v>34</v>
      </c>
      <c r="G8" t="s">
        <v>34</v>
      </c>
      <c r="H8" t="s">
        <v>20</v>
      </c>
      <c r="I8" t="s">
        <v>15</v>
      </c>
      <c r="J8">
        <v>8</v>
      </c>
      <c r="K8">
        <v>1676</v>
      </c>
      <c r="L8">
        <v>13408</v>
      </c>
      <c r="M8">
        <v>7800.01</v>
      </c>
      <c r="N8">
        <v>5607.99</v>
      </c>
      <c r="O8" t="str">
        <f>TEXT(Table1[[#This Row],[Order_Date]],"yyy")</f>
        <v>2024</v>
      </c>
    </row>
    <row r="9" spans="1:15" x14ac:dyDescent="0.3">
      <c r="A9" t="s">
        <v>59</v>
      </c>
      <c r="B9" s="1">
        <v>45853</v>
      </c>
      <c r="C9" t="s">
        <v>22</v>
      </c>
      <c r="D9" t="s">
        <v>9</v>
      </c>
      <c r="E9" t="s">
        <v>4</v>
      </c>
      <c r="F9" t="s">
        <v>36</v>
      </c>
      <c r="G9" t="s">
        <v>36</v>
      </c>
      <c r="H9" t="s">
        <v>30</v>
      </c>
      <c r="I9" t="s">
        <v>8</v>
      </c>
      <c r="J9">
        <v>20</v>
      </c>
      <c r="K9">
        <v>2243</v>
      </c>
      <c r="L9">
        <v>44860</v>
      </c>
      <c r="M9">
        <v>26137.65</v>
      </c>
      <c r="N9">
        <v>18722.349999999999</v>
      </c>
      <c r="O9" t="str">
        <f>TEXT(Table1[[#This Row],[Order_Date]],"yyy")</f>
        <v>2025</v>
      </c>
    </row>
    <row r="10" spans="1:15" x14ac:dyDescent="0.3">
      <c r="A10" t="s">
        <v>60</v>
      </c>
      <c r="B10" s="1">
        <v>45814</v>
      </c>
      <c r="C10" t="s">
        <v>10</v>
      </c>
      <c r="D10" t="s">
        <v>25</v>
      </c>
      <c r="E10" t="s">
        <v>11</v>
      </c>
      <c r="F10" t="s">
        <v>6</v>
      </c>
      <c r="G10" t="s">
        <v>6</v>
      </c>
      <c r="H10" t="s">
        <v>24</v>
      </c>
      <c r="I10" t="s">
        <v>8</v>
      </c>
      <c r="J10">
        <v>16</v>
      </c>
      <c r="K10">
        <v>380</v>
      </c>
      <c r="L10">
        <v>6080</v>
      </c>
      <c r="M10">
        <v>3980.99</v>
      </c>
      <c r="N10">
        <v>2099.0100000000002</v>
      </c>
      <c r="O10" t="str">
        <f>TEXT(Table1[[#This Row],[Order_Date]],"yyy")</f>
        <v>2025</v>
      </c>
    </row>
    <row r="11" spans="1:15" x14ac:dyDescent="0.3">
      <c r="A11" t="s">
        <v>61</v>
      </c>
      <c r="B11" s="1">
        <v>45924</v>
      </c>
      <c r="C11" t="s">
        <v>10</v>
      </c>
      <c r="D11" t="s">
        <v>16</v>
      </c>
      <c r="E11" t="s">
        <v>11</v>
      </c>
      <c r="F11" t="s">
        <v>19</v>
      </c>
      <c r="G11" t="s">
        <v>19</v>
      </c>
      <c r="H11" t="s">
        <v>24</v>
      </c>
      <c r="I11" t="s">
        <v>8</v>
      </c>
      <c r="J11">
        <v>14</v>
      </c>
      <c r="K11">
        <v>2731</v>
      </c>
      <c r="L11">
        <v>38234</v>
      </c>
      <c r="M11">
        <v>28135.43</v>
      </c>
      <c r="N11">
        <v>10098.57</v>
      </c>
      <c r="O11" t="str">
        <f>TEXT(Table1[[#This Row],[Order_Date]],"yyy")</f>
        <v>2025</v>
      </c>
    </row>
    <row r="12" spans="1:15" x14ac:dyDescent="0.3">
      <c r="A12" t="s">
        <v>62</v>
      </c>
      <c r="B12" s="1">
        <v>45448</v>
      </c>
      <c r="C12" t="s">
        <v>22</v>
      </c>
      <c r="D12" t="s">
        <v>16</v>
      </c>
      <c r="E12" t="s">
        <v>4</v>
      </c>
      <c r="F12" t="s">
        <v>23</v>
      </c>
      <c r="G12" t="s">
        <v>23</v>
      </c>
      <c r="H12" t="s">
        <v>7</v>
      </c>
      <c r="I12" t="s">
        <v>8</v>
      </c>
      <c r="J12">
        <v>9</v>
      </c>
      <c r="K12">
        <v>3821</v>
      </c>
      <c r="L12">
        <v>34389</v>
      </c>
      <c r="M12">
        <v>25050.66</v>
      </c>
      <c r="N12">
        <v>9338.34</v>
      </c>
      <c r="O12" t="str">
        <f>TEXT(Table1[[#This Row],[Order_Date]],"yyy")</f>
        <v>2024</v>
      </c>
    </row>
    <row r="13" spans="1:15" x14ac:dyDescent="0.3">
      <c r="A13" t="s">
        <v>63</v>
      </c>
      <c r="B13" s="1">
        <v>45831</v>
      </c>
      <c r="C13" t="s">
        <v>10</v>
      </c>
      <c r="D13" t="s">
        <v>16</v>
      </c>
      <c r="E13" t="s">
        <v>11</v>
      </c>
      <c r="F13" t="s">
        <v>13</v>
      </c>
      <c r="G13" t="s">
        <v>13</v>
      </c>
      <c r="H13" t="s">
        <v>35</v>
      </c>
      <c r="I13" t="s">
        <v>8</v>
      </c>
      <c r="J13">
        <v>17</v>
      </c>
      <c r="K13">
        <v>2290</v>
      </c>
      <c r="L13">
        <v>38930</v>
      </c>
      <c r="M13">
        <v>32043.83</v>
      </c>
      <c r="N13">
        <v>6886.17</v>
      </c>
      <c r="O13" t="str">
        <f>TEXT(Table1[[#This Row],[Order_Date]],"yyy")</f>
        <v>2025</v>
      </c>
    </row>
    <row r="14" spans="1:15" x14ac:dyDescent="0.3">
      <c r="A14" t="s">
        <v>64</v>
      </c>
      <c r="B14" s="1">
        <v>45786</v>
      </c>
      <c r="C14" t="s">
        <v>17</v>
      </c>
      <c r="D14" t="s">
        <v>9</v>
      </c>
      <c r="E14" t="s">
        <v>11</v>
      </c>
      <c r="F14" t="s">
        <v>13</v>
      </c>
      <c r="G14" t="s">
        <v>13</v>
      </c>
      <c r="H14" t="s">
        <v>33</v>
      </c>
      <c r="I14" t="s">
        <v>8</v>
      </c>
      <c r="J14">
        <v>15</v>
      </c>
      <c r="K14">
        <v>1550</v>
      </c>
      <c r="L14">
        <v>23250</v>
      </c>
      <c r="M14">
        <v>18032.55</v>
      </c>
      <c r="N14">
        <v>5217.45</v>
      </c>
      <c r="O14" t="str">
        <f>TEXT(Table1[[#This Row],[Order_Date]],"yyy")</f>
        <v>2025</v>
      </c>
    </row>
    <row r="15" spans="1:15" x14ac:dyDescent="0.3">
      <c r="A15" t="s">
        <v>65</v>
      </c>
      <c r="B15" s="1">
        <v>45495</v>
      </c>
      <c r="C15" t="s">
        <v>3</v>
      </c>
      <c r="D15" t="s">
        <v>9</v>
      </c>
      <c r="E15" t="s">
        <v>11</v>
      </c>
      <c r="F15" t="s">
        <v>13</v>
      </c>
      <c r="G15" t="s">
        <v>13</v>
      </c>
      <c r="H15" t="s">
        <v>30</v>
      </c>
      <c r="I15" t="s">
        <v>15</v>
      </c>
      <c r="J15">
        <v>12</v>
      </c>
      <c r="K15">
        <v>1139</v>
      </c>
      <c r="L15">
        <v>13668</v>
      </c>
      <c r="M15">
        <v>8872.0300000000007</v>
      </c>
      <c r="N15">
        <v>4795.97</v>
      </c>
      <c r="O15" t="str">
        <f>TEXT(Table1[[#This Row],[Order_Date]],"yyy")</f>
        <v>2024</v>
      </c>
    </row>
    <row r="16" spans="1:15" x14ac:dyDescent="0.3">
      <c r="A16" t="s">
        <v>66</v>
      </c>
      <c r="B16" s="1">
        <v>45592</v>
      </c>
      <c r="C16" t="s">
        <v>3</v>
      </c>
      <c r="D16" t="s">
        <v>21</v>
      </c>
      <c r="E16" t="s">
        <v>18</v>
      </c>
      <c r="F16" t="s">
        <v>26</v>
      </c>
      <c r="G16" t="s">
        <v>26</v>
      </c>
      <c r="H16" t="s">
        <v>14</v>
      </c>
      <c r="I16" t="s">
        <v>15</v>
      </c>
      <c r="J16">
        <v>3</v>
      </c>
      <c r="K16">
        <v>3862</v>
      </c>
      <c r="L16">
        <v>11586</v>
      </c>
      <c r="M16">
        <v>7648.45</v>
      </c>
      <c r="N16">
        <v>3937.55</v>
      </c>
      <c r="O16" t="str">
        <f>TEXT(Table1[[#This Row],[Order_Date]],"yyy")</f>
        <v>2024</v>
      </c>
    </row>
    <row r="17" spans="1:15" x14ac:dyDescent="0.3">
      <c r="A17" t="s">
        <v>67</v>
      </c>
      <c r="B17" s="1">
        <v>45648</v>
      </c>
      <c r="C17" t="s">
        <v>17</v>
      </c>
      <c r="D17" t="s">
        <v>25</v>
      </c>
      <c r="E17" t="s">
        <v>11</v>
      </c>
      <c r="F17" t="s">
        <v>6</v>
      </c>
      <c r="G17" t="s">
        <v>6</v>
      </c>
      <c r="H17" t="s">
        <v>27</v>
      </c>
      <c r="I17" t="s">
        <v>15</v>
      </c>
      <c r="J17">
        <v>6</v>
      </c>
      <c r="K17">
        <v>1885</v>
      </c>
      <c r="L17">
        <v>11310</v>
      </c>
      <c r="M17">
        <v>7994.14</v>
      </c>
      <c r="N17">
        <v>3315.86</v>
      </c>
      <c r="O17" t="str">
        <f>TEXT(Table1[[#This Row],[Order_Date]],"yyy")</f>
        <v>2024</v>
      </c>
    </row>
    <row r="18" spans="1:15" x14ac:dyDescent="0.3">
      <c r="A18" t="s">
        <v>68</v>
      </c>
      <c r="B18" s="1">
        <v>46011</v>
      </c>
      <c r="C18" t="s">
        <v>3</v>
      </c>
      <c r="D18" t="s">
        <v>16</v>
      </c>
      <c r="E18" t="s">
        <v>11</v>
      </c>
      <c r="F18" t="s">
        <v>6</v>
      </c>
      <c r="G18" t="s">
        <v>6</v>
      </c>
      <c r="H18" t="s">
        <v>20</v>
      </c>
      <c r="I18" t="s">
        <v>8</v>
      </c>
      <c r="J18">
        <v>14</v>
      </c>
      <c r="K18">
        <v>2737</v>
      </c>
      <c r="L18">
        <v>38318</v>
      </c>
      <c r="M18">
        <v>22039.95</v>
      </c>
      <c r="N18">
        <v>16278.05</v>
      </c>
      <c r="O18" t="str">
        <f>TEXT(Table1[[#This Row],[Order_Date]],"yyy")</f>
        <v>2025</v>
      </c>
    </row>
    <row r="19" spans="1:15" x14ac:dyDescent="0.3">
      <c r="A19" t="s">
        <v>69</v>
      </c>
      <c r="B19" s="1">
        <v>45584</v>
      </c>
      <c r="C19" t="s">
        <v>3</v>
      </c>
      <c r="D19" t="s">
        <v>9</v>
      </c>
      <c r="E19" t="s">
        <v>4</v>
      </c>
      <c r="F19" t="s">
        <v>36</v>
      </c>
      <c r="G19" t="s">
        <v>36</v>
      </c>
      <c r="H19" t="s">
        <v>33</v>
      </c>
      <c r="I19" t="s">
        <v>15</v>
      </c>
      <c r="J19">
        <v>20</v>
      </c>
      <c r="K19">
        <v>2874</v>
      </c>
      <c r="L19">
        <v>57480</v>
      </c>
      <c r="M19">
        <v>48818.71</v>
      </c>
      <c r="N19">
        <v>8661.2900000000009</v>
      </c>
      <c r="O19" t="str">
        <f>TEXT(Table1[[#This Row],[Order_Date]],"yyy")</f>
        <v>2024</v>
      </c>
    </row>
    <row r="20" spans="1:15" x14ac:dyDescent="0.3">
      <c r="A20" t="s">
        <v>70</v>
      </c>
      <c r="B20" s="1">
        <v>45797</v>
      </c>
      <c r="C20" t="s">
        <v>17</v>
      </c>
      <c r="D20" t="s">
        <v>31</v>
      </c>
      <c r="E20" t="s">
        <v>11</v>
      </c>
      <c r="F20" t="s">
        <v>13</v>
      </c>
      <c r="G20" t="s">
        <v>13</v>
      </c>
      <c r="H20" t="s">
        <v>30</v>
      </c>
      <c r="I20" t="s">
        <v>15</v>
      </c>
      <c r="J20">
        <v>4</v>
      </c>
      <c r="K20">
        <v>550</v>
      </c>
      <c r="L20">
        <v>2200</v>
      </c>
      <c r="M20">
        <v>1730.96</v>
      </c>
      <c r="N20">
        <v>469.04</v>
      </c>
      <c r="O20" t="str">
        <f>TEXT(Table1[[#This Row],[Order_Date]],"yyy")</f>
        <v>2025</v>
      </c>
    </row>
    <row r="21" spans="1:15" x14ac:dyDescent="0.3">
      <c r="A21" t="s">
        <v>71</v>
      </c>
      <c r="B21" s="1">
        <v>45709</v>
      </c>
      <c r="C21" t="s">
        <v>3</v>
      </c>
      <c r="D21" t="s">
        <v>28</v>
      </c>
      <c r="E21" t="s">
        <v>11</v>
      </c>
      <c r="F21" t="s">
        <v>13</v>
      </c>
      <c r="G21" t="s">
        <v>13</v>
      </c>
      <c r="H21" t="s">
        <v>14</v>
      </c>
      <c r="I21" t="s">
        <v>8</v>
      </c>
      <c r="J21">
        <v>10</v>
      </c>
      <c r="K21">
        <v>3038</v>
      </c>
      <c r="L21">
        <v>30380</v>
      </c>
      <c r="M21">
        <v>24691.57</v>
      </c>
      <c r="N21">
        <v>5688.43</v>
      </c>
      <c r="O21" t="str">
        <f>TEXT(Table1[[#This Row],[Order_Date]],"yyy")</f>
        <v>2025</v>
      </c>
    </row>
    <row r="22" spans="1:15" x14ac:dyDescent="0.3">
      <c r="A22" t="s">
        <v>72</v>
      </c>
      <c r="B22" s="1">
        <v>45495</v>
      </c>
      <c r="C22" t="s">
        <v>22</v>
      </c>
      <c r="D22" t="s">
        <v>31</v>
      </c>
      <c r="E22" t="s">
        <v>4</v>
      </c>
      <c r="F22" t="s">
        <v>32</v>
      </c>
      <c r="G22" t="s">
        <v>32</v>
      </c>
      <c r="H22" t="s">
        <v>27</v>
      </c>
      <c r="I22" t="s">
        <v>15</v>
      </c>
      <c r="J22">
        <v>16</v>
      </c>
      <c r="K22">
        <v>783</v>
      </c>
      <c r="L22">
        <v>12528</v>
      </c>
      <c r="M22">
        <v>7772.01</v>
      </c>
      <c r="N22">
        <v>4755.99</v>
      </c>
      <c r="O22" t="str">
        <f>TEXT(Table1[[#This Row],[Order_Date]],"yyy")</f>
        <v>2024</v>
      </c>
    </row>
    <row r="23" spans="1:15" x14ac:dyDescent="0.3">
      <c r="A23" t="s">
        <v>73</v>
      </c>
      <c r="B23" s="1">
        <v>45482</v>
      </c>
      <c r="C23" t="s">
        <v>3</v>
      </c>
      <c r="D23" t="s">
        <v>21</v>
      </c>
      <c r="E23" t="s">
        <v>4</v>
      </c>
      <c r="F23" t="s">
        <v>32</v>
      </c>
      <c r="G23" t="s">
        <v>32</v>
      </c>
      <c r="H23" t="s">
        <v>27</v>
      </c>
      <c r="I23" t="s">
        <v>15</v>
      </c>
      <c r="J23">
        <v>6</v>
      </c>
      <c r="K23">
        <v>1475</v>
      </c>
      <c r="L23">
        <v>8850</v>
      </c>
      <c r="M23">
        <v>6715.64</v>
      </c>
      <c r="N23">
        <v>2134.36</v>
      </c>
      <c r="O23" t="str">
        <f>TEXT(Table1[[#This Row],[Order_Date]],"yyy")</f>
        <v>2024</v>
      </c>
    </row>
    <row r="24" spans="1:15" x14ac:dyDescent="0.3">
      <c r="A24" t="s">
        <v>74</v>
      </c>
      <c r="B24" s="1">
        <v>45783</v>
      </c>
      <c r="C24" t="s">
        <v>22</v>
      </c>
      <c r="D24" t="s">
        <v>21</v>
      </c>
      <c r="E24" t="s">
        <v>11</v>
      </c>
      <c r="F24" t="s">
        <v>19</v>
      </c>
      <c r="G24" t="s">
        <v>19</v>
      </c>
      <c r="H24" t="s">
        <v>24</v>
      </c>
      <c r="I24" t="s">
        <v>15</v>
      </c>
      <c r="J24">
        <v>4</v>
      </c>
      <c r="K24">
        <v>1744</v>
      </c>
      <c r="L24">
        <v>6976</v>
      </c>
      <c r="M24">
        <v>5357.27</v>
      </c>
      <c r="N24">
        <v>1618.73</v>
      </c>
      <c r="O24" t="str">
        <f>TEXT(Table1[[#This Row],[Order_Date]],"yyy")</f>
        <v>2025</v>
      </c>
    </row>
    <row r="25" spans="1:15" x14ac:dyDescent="0.3">
      <c r="A25" t="s">
        <v>75</v>
      </c>
      <c r="B25" s="1">
        <v>45366</v>
      </c>
      <c r="C25" t="s">
        <v>17</v>
      </c>
      <c r="D25" t="s">
        <v>28</v>
      </c>
      <c r="E25" t="s">
        <v>18</v>
      </c>
      <c r="F25" t="s">
        <v>29</v>
      </c>
      <c r="G25" t="s">
        <v>29</v>
      </c>
      <c r="H25" t="s">
        <v>30</v>
      </c>
      <c r="I25" t="s">
        <v>8</v>
      </c>
      <c r="J25">
        <v>11</v>
      </c>
      <c r="K25">
        <v>1730</v>
      </c>
      <c r="L25">
        <v>19030</v>
      </c>
      <c r="M25">
        <v>13233.69</v>
      </c>
      <c r="N25">
        <v>5796.31</v>
      </c>
      <c r="O25" t="str">
        <f>TEXT(Table1[[#This Row],[Order_Date]],"yyy")</f>
        <v>2024</v>
      </c>
    </row>
    <row r="26" spans="1:15" x14ac:dyDescent="0.3">
      <c r="A26" t="s">
        <v>76</v>
      </c>
      <c r="B26" s="1">
        <v>45424</v>
      </c>
      <c r="C26" t="s">
        <v>10</v>
      </c>
      <c r="D26" t="s">
        <v>21</v>
      </c>
      <c r="E26" t="s">
        <v>4</v>
      </c>
      <c r="F26" t="s">
        <v>32</v>
      </c>
      <c r="G26" t="s">
        <v>32</v>
      </c>
      <c r="H26" t="s">
        <v>14</v>
      </c>
      <c r="I26" t="s">
        <v>15</v>
      </c>
      <c r="J26">
        <v>17</v>
      </c>
      <c r="K26">
        <v>1605</v>
      </c>
      <c r="L26">
        <v>27285</v>
      </c>
      <c r="M26">
        <v>23037.200000000001</v>
      </c>
      <c r="N26">
        <v>4247.8</v>
      </c>
      <c r="O26" t="str">
        <f>TEXT(Table1[[#This Row],[Order_Date]],"yyy")</f>
        <v>2024</v>
      </c>
    </row>
    <row r="27" spans="1:15" x14ac:dyDescent="0.3">
      <c r="A27" t="s">
        <v>77</v>
      </c>
      <c r="B27" s="1">
        <v>45456</v>
      </c>
      <c r="C27" t="s">
        <v>22</v>
      </c>
      <c r="D27" t="s">
        <v>16</v>
      </c>
      <c r="E27" t="s">
        <v>18</v>
      </c>
      <c r="F27" t="s">
        <v>26</v>
      </c>
      <c r="G27" t="s">
        <v>26</v>
      </c>
      <c r="H27" t="s">
        <v>27</v>
      </c>
      <c r="I27" t="s">
        <v>8</v>
      </c>
      <c r="J27">
        <v>10</v>
      </c>
      <c r="K27">
        <v>1069</v>
      </c>
      <c r="L27">
        <v>10690</v>
      </c>
      <c r="M27">
        <v>6266.61</v>
      </c>
      <c r="N27">
        <v>4423.3900000000003</v>
      </c>
      <c r="O27" t="str">
        <f>TEXT(Table1[[#This Row],[Order_Date]],"yyy")</f>
        <v>2024</v>
      </c>
    </row>
    <row r="28" spans="1:15" x14ac:dyDescent="0.3">
      <c r="A28" t="s">
        <v>78</v>
      </c>
      <c r="B28" s="1">
        <v>45602</v>
      </c>
      <c r="C28" t="s">
        <v>10</v>
      </c>
      <c r="D28" t="s">
        <v>25</v>
      </c>
      <c r="E28" t="s">
        <v>18</v>
      </c>
      <c r="F28" t="s">
        <v>26</v>
      </c>
      <c r="G28" t="s">
        <v>26</v>
      </c>
      <c r="H28" t="s">
        <v>7</v>
      </c>
      <c r="I28" t="s">
        <v>8</v>
      </c>
      <c r="J28">
        <v>4</v>
      </c>
      <c r="K28">
        <v>147</v>
      </c>
      <c r="L28">
        <v>588</v>
      </c>
      <c r="M28">
        <v>429.6</v>
      </c>
      <c r="N28">
        <v>158.4</v>
      </c>
      <c r="O28" t="str">
        <f>TEXT(Table1[[#This Row],[Order_Date]],"yyy")</f>
        <v>2024</v>
      </c>
    </row>
    <row r="29" spans="1:15" x14ac:dyDescent="0.3">
      <c r="A29" t="s">
        <v>79</v>
      </c>
      <c r="B29" s="1">
        <v>45362</v>
      </c>
      <c r="C29" t="s">
        <v>17</v>
      </c>
      <c r="D29" t="s">
        <v>28</v>
      </c>
      <c r="E29" t="s">
        <v>4</v>
      </c>
      <c r="F29" t="s">
        <v>32</v>
      </c>
      <c r="G29" t="s">
        <v>32</v>
      </c>
      <c r="H29" t="s">
        <v>35</v>
      </c>
      <c r="I29" t="s">
        <v>8</v>
      </c>
      <c r="J29">
        <v>19</v>
      </c>
      <c r="K29">
        <v>4198</v>
      </c>
      <c r="L29">
        <v>79762</v>
      </c>
      <c r="M29">
        <v>61234.2</v>
      </c>
      <c r="N29">
        <v>18527.8</v>
      </c>
      <c r="O29" t="str">
        <f>TEXT(Table1[[#This Row],[Order_Date]],"yyy")</f>
        <v>2024</v>
      </c>
    </row>
    <row r="30" spans="1:15" x14ac:dyDescent="0.3">
      <c r="A30" t="s">
        <v>80</v>
      </c>
      <c r="B30" s="1">
        <v>46008</v>
      </c>
      <c r="C30" t="s">
        <v>3</v>
      </c>
      <c r="D30" t="s">
        <v>28</v>
      </c>
      <c r="E30" t="s">
        <v>4</v>
      </c>
      <c r="F30" t="s">
        <v>36</v>
      </c>
      <c r="G30" t="s">
        <v>36</v>
      </c>
      <c r="H30" t="s">
        <v>7</v>
      </c>
      <c r="I30" t="s">
        <v>15</v>
      </c>
      <c r="J30">
        <v>6</v>
      </c>
      <c r="K30">
        <v>4313</v>
      </c>
      <c r="L30">
        <v>25878</v>
      </c>
      <c r="M30">
        <v>21692.51</v>
      </c>
      <c r="N30">
        <v>4185.49</v>
      </c>
      <c r="O30" t="str">
        <f>TEXT(Table1[[#This Row],[Order_Date]],"yyy")</f>
        <v>2025</v>
      </c>
    </row>
    <row r="31" spans="1:15" x14ac:dyDescent="0.3">
      <c r="A31" t="s">
        <v>81</v>
      </c>
      <c r="B31" s="1">
        <v>45749</v>
      </c>
      <c r="C31" t="s">
        <v>17</v>
      </c>
      <c r="D31" t="s">
        <v>9</v>
      </c>
      <c r="E31" t="s">
        <v>18</v>
      </c>
      <c r="F31" t="s">
        <v>29</v>
      </c>
      <c r="G31" t="s">
        <v>29</v>
      </c>
      <c r="H31" t="s">
        <v>33</v>
      </c>
      <c r="I31" t="s">
        <v>15</v>
      </c>
      <c r="J31">
        <v>13</v>
      </c>
      <c r="K31">
        <v>3782</v>
      </c>
      <c r="L31">
        <v>49166</v>
      </c>
      <c r="M31">
        <v>29004.880000000001</v>
      </c>
      <c r="N31">
        <v>20161.12</v>
      </c>
      <c r="O31" t="str">
        <f>TEXT(Table1[[#This Row],[Order_Date]],"yyy")</f>
        <v>2025</v>
      </c>
    </row>
    <row r="32" spans="1:15" x14ac:dyDescent="0.3">
      <c r="A32" t="s">
        <v>82</v>
      </c>
      <c r="B32" s="1">
        <v>45363</v>
      </c>
      <c r="C32" t="s">
        <v>3</v>
      </c>
      <c r="D32" t="s">
        <v>25</v>
      </c>
      <c r="E32" t="s">
        <v>18</v>
      </c>
      <c r="F32" t="s">
        <v>29</v>
      </c>
      <c r="G32" t="s">
        <v>29</v>
      </c>
      <c r="H32" t="s">
        <v>20</v>
      </c>
      <c r="I32" t="s">
        <v>8</v>
      </c>
      <c r="J32">
        <v>20</v>
      </c>
      <c r="K32">
        <v>2882</v>
      </c>
      <c r="L32">
        <v>57640</v>
      </c>
      <c r="M32">
        <v>35839.08</v>
      </c>
      <c r="N32">
        <v>21800.92</v>
      </c>
      <c r="O32" t="str">
        <f>TEXT(Table1[[#This Row],[Order_Date]],"yyy")</f>
        <v>2024</v>
      </c>
    </row>
    <row r="33" spans="1:15" x14ac:dyDescent="0.3">
      <c r="A33" t="s">
        <v>83</v>
      </c>
      <c r="B33" s="1">
        <v>45932</v>
      </c>
      <c r="C33" t="s">
        <v>10</v>
      </c>
      <c r="D33" t="s">
        <v>31</v>
      </c>
      <c r="E33" t="s">
        <v>4</v>
      </c>
      <c r="F33" t="s">
        <v>36</v>
      </c>
      <c r="G33" t="s">
        <v>36</v>
      </c>
      <c r="H33" t="s">
        <v>35</v>
      </c>
      <c r="I33" t="s">
        <v>8</v>
      </c>
      <c r="J33">
        <v>15</v>
      </c>
      <c r="K33">
        <v>2558</v>
      </c>
      <c r="L33">
        <v>38370</v>
      </c>
      <c r="M33">
        <v>27051.25</v>
      </c>
      <c r="N33">
        <v>11318.75</v>
      </c>
      <c r="O33" t="str">
        <f>TEXT(Table1[[#This Row],[Order_Date]],"yyy")</f>
        <v>2025</v>
      </c>
    </row>
    <row r="34" spans="1:15" x14ac:dyDescent="0.3">
      <c r="A34" t="s">
        <v>84</v>
      </c>
      <c r="B34" s="1">
        <v>45678</v>
      </c>
      <c r="C34" t="s">
        <v>22</v>
      </c>
      <c r="D34" t="s">
        <v>25</v>
      </c>
      <c r="E34" t="s">
        <v>4</v>
      </c>
      <c r="F34" t="s">
        <v>23</v>
      </c>
      <c r="G34" t="s">
        <v>23</v>
      </c>
      <c r="H34" t="s">
        <v>20</v>
      </c>
      <c r="I34" t="s">
        <v>15</v>
      </c>
      <c r="J34">
        <v>14</v>
      </c>
      <c r="K34">
        <v>2662</v>
      </c>
      <c r="L34">
        <v>37268</v>
      </c>
      <c r="M34">
        <v>21382.41</v>
      </c>
      <c r="N34">
        <v>15885.59</v>
      </c>
      <c r="O34" t="str">
        <f>TEXT(Table1[[#This Row],[Order_Date]],"yyy")</f>
        <v>2025</v>
      </c>
    </row>
    <row r="35" spans="1:15" x14ac:dyDescent="0.3">
      <c r="A35" t="s">
        <v>85</v>
      </c>
      <c r="B35" s="1">
        <v>45949</v>
      </c>
      <c r="C35" t="s">
        <v>10</v>
      </c>
      <c r="D35" t="s">
        <v>9</v>
      </c>
      <c r="E35" t="s">
        <v>4</v>
      </c>
      <c r="F35" t="s">
        <v>36</v>
      </c>
      <c r="G35" t="s">
        <v>36</v>
      </c>
      <c r="H35" t="s">
        <v>14</v>
      </c>
      <c r="I35" t="s">
        <v>15</v>
      </c>
      <c r="J35">
        <v>15</v>
      </c>
      <c r="K35">
        <v>2941</v>
      </c>
      <c r="L35">
        <v>44115</v>
      </c>
      <c r="M35">
        <v>29604.799999999999</v>
      </c>
      <c r="N35">
        <v>14510.2</v>
      </c>
      <c r="O35" t="str">
        <f>TEXT(Table1[[#This Row],[Order_Date]],"yyy")</f>
        <v>2025</v>
      </c>
    </row>
    <row r="36" spans="1:15" x14ac:dyDescent="0.3">
      <c r="A36" t="s">
        <v>86</v>
      </c>
      <c r="B36" s="1">
        <v>45303</v>
      </c>
      <c r="C36" t="s">
        <v>17</v>
      </c>
      <c r="D36" t="s">
        <v>16</v>
      </c>
      <c r="E36" t="s">
        <v>18</v>
      </c>
      <c r="F36" t="s">
        <v>34</v>
      </c>
      <c r="G36" t="s">
        <v>34</v>
      </c>
      <c r="H36" t="s">
        <v>30</v>
      </c>
      <c r="I36" t="s">
        <v>8</v>
      </c>
      <c r="J36">
        <v>17</v>
      </c>
      <c r="K36">
        <v>3423</v>
      </c>
      <c r="L36">
        <v>58191</v>
      </c>
      <c r="M36">
        <v>42462.73</v>
      </c>
      <c r="N36">
        <v>15728.27</v>
      </c>
      <c r="O36" t="str">
        <f>TEXT(Table1[[#This Row],[Order_Date]],"yyy")</f>
        <v>2024</v>
      </c>
    </row>
    <row r="37" spans="1:15" x14ac:dyDescent="0.3">
      <c r="A37" t="s">
        <v>87</v>
      </c>
      <c r="B37" s="1">
        <v>45428</v>
      </c>
      <c r="C37" t="s">
        <v>3</v>
      </c>
      <c r="D37" t="s">
        <v>16</v>
      </c>
      <c r="E37" t="s">
        <v>18</v>
      </c>
      <c r="F37" t="s">
        <v>34</v>
      </c>
      <c r="G37" t="s">
        <v>34</v>
      </c>
      <c r="H37" t="s">
        <v>27</v>
      </c>
      <c r="I37" t="s">
        <v>8</v>
      </c>
      <c r="J37">
        <v>10</v>
      </c>
      <c r="K37">
        <v>4897</v>
      </c>
      <c r="L37">
        <v>48970</v>
      </c>
      <c r="M37">
        <v>28642.62</v>
      </c>
      <c r="N37">
        <v>20327.38</v>
      </c>
      <c r="O37" t="str">
        <f>TEXT(Table1[[#This Row],[Order_Date]],"yyy")</f>
        <v>2024</v>
      </c>
    </row>
    <row r="38" spans="1:15" x14ac:dyDescent="0.3">
      <c r="A38" t="s">
        <v>88</v>
      </c>
      <c r="B38" s="1">
        <v>45532</v>
      </c>
      <c r="C38" t="s">
        <v>22</v>
      </c>
      <c r="D38" t="s">
        <v>28</v>
      </c>
      <c r="E38" t="s">
        <v>11</v>
      </c>
      <c r="F38" t="s">
        <v>13</v>
      </c>
      <c r="G38" t="s">
        <v>13</v>
      </c>
      <c r="H38" t="s">
        <v>35</v>
      </c>
      <c r="I38" t="s">
        <v>15</v>
      </c>
      <c r="J38">
        <v>1</v>
      </c>
      <c r="K38">
        <v>1105</v>
      </c>
      <c r="L38">
        <v>1105</v>
      </c>
      <c r="M38">
        <v>665.67</v>
      </c>
      <c r="N38">
        <v>439.33</v>
      </c>
      <c r="O38" t="str">
        <f>TEXT(Table1[[#This Row],[Order_Date]],"yyy")</f>
        <v>2024</v>
      </c>
    </row>
    <row r="39" spans="1:15" x14ac:dyDescent="0.3">
      <c r="A39" t="s">
        <v>89</v>
      </c>
      <c r="B39" s="1">
        <v>45340</v>
      </c>
      <c r="C39" t="s">
        <v>3</v>
      </c>
      <c r="D39" t="s">
        <v>31</v>
      </c>
      <c r="E39" t="s">
        <v>11</v>
      </c>
      <c r="F39" t="s">
        <v>19</v>
      </c>
      <c r="G39" t="s">
        <v>19</v>
      </c>
      <c r="H39" t="s">
        <v>35</v>
      </c>
      <c r="I39" t="s">
        <v>15</v>
      </c>
      <c r="J39">
        <v>16</v>
      </c>
      <c r="K39">
        <v>1557</v>
      </c>
      <c r="L39">
        <v>24912</v>
      </c>
      <c r="M39">
        <v>14818.06</v>
      </c>
      <c r="N39">
        <v>10093.94</v>
      </c>
      <c r="O39" t="str">
        <f>TEXT(Table1[[#This Row],[Order_Date]],"yyy")</f>
        <v>2024</v>
      </c>
    </row>
    <row r="40" spans="1:15" x14ac:dyDescent="0.3">
      <c r="A40" t="s">
        <v>90</v>
      </c>
      <c r="B40" s="1">
        <v>45302</v>
      </c>
      <c r="C40" t="s">
        <v>17</v>
      </c>
      <c r="D40" t="s">
        <v>16</v>
      </c>
      <c r="E40" t="s">
        <v>4</v>
      </c>
      <c r="F40" t="s">
        <v>32</v>
      </c>
      <c r="G40" t="s">
        <v>32</v>
      </c>
      <c r="H40" t="s">
        <v>30</v>
      </c>
      <c r="I40" t="s">
        <v>15</v>
      </c>
      <c r="J40">
        <v>10</v>
      </c>
      <c r="K40">
        <v>1420</v>
      </c>
      <c r="L40">
        <v>14200</v>
      </c>
      <c r="M40">
        <v>9523.11</v>
      </c>
      <c r="N40">
        <v>4676.8900000000003</v>
      </c>
      <c r="O40" t="str">
        <f>TEXT(Table1[[#This Row],[Order_Date]],"yyy")</f>
        <v>2024</v>
      </c>
    </row>
    <row r="41" spans="1:15" x14ac:dyDescent="0.3">
      <c r="A41" t="s">
        <v>91</v>
      </c>
      <c r="B41" s="1">
        <v>45987</v>
      </c>
      <c r="C41" t="s">
        <v>22</v>
      </c>
      <c r="D41" t="s">
        <v>28</v>
      </c>
      <c r="E41" t="s">
        <v>4</v>
      </c>
      <c r="F41" t="s">
        <v>32</v>
      </c>
      <c r="G41" t="s">
        <v>32</v>
      </c>
      <c r="H41" t="s">
        <v>14</v>
      </c>
      <c r="I41" t="s">
        <v>8</v>
      </c>
      <c r="J41">
        <v>1</v>
      </c>
      <c r="K41">
        <v>688</v>
      </c>
      <c r="L41">
        <v>688</v>
      </c>
      <c r="M41">
        <v>538.53</v>
      </c>
      <c r="N41">
        <v>149.47</v>
      </c>
      <c r="O41" t="str">
        <f>TEXT(Table1[[#This Row],[Order_Date]],"yyy")</f>
        <v>2025</v>
      </c>
    </row>
    <row r="42" spans="1:15" x14ac:dyDescent="0.3">
      <c r="A42" t="s">
        <v>92</v>
      </c>
      <c r="B42" s="1">
        <v>45479</v>
      </c>
      <c r="C42" t="s">
        <v>17</v>
      </c>
      <c r="D42" t="s">
        <v>25</v>
      </c>
      <c r="E42" t="s">
        <v>18</v>
      </c>
      <c r="F42" t="s">
        <v>26</v>
      </c>
      <c r="G42" t="s">
        <v>26</v>
      </c>
      <c r="H42" t="s">
        <v>33</v>
      </c>
      <c r="I42" t="s">
        <v>8</v>
      </c>
      <c r="J42">
        <v>10</v>
      </c>
      <c r="K42">
        <v>1748</v>
      </c>
      <c r="L42">
        <v>17480</v>
      </c>
      <c r="M42">
        <v>10051.93</v>
      </c>
      <c r="N42">
        <v>7428.07</v>
      </c>
      <c r="O42" t="str">
        <f>TEXT(Table1[[#This Row],[Order_Date]],"yyy")</f>
        <v>2024</v>
      </c>
    </row>
    <row r="43" spans="1:15" x14ac:dyDescent="0.3">
      <c r="A43" t="s">
        <v>93</v>
      </c>
      <c r="B43" s="1">
        <v>45776</v>
      </c>
      <c r="C43" t="s">
        <v>17</v>
      </c>
      <c r="D43" t="s">
        <v>25</v>
      </c>
      <c r="E43" t="s">
        <v>11</v>
      </c>
      <c r="F43" t="s">
        <v>13</v>
      </c>
      <c r="G43" t="s">
        <v>13</v>
      </c>
      <c r="H43" t="s">
        <v>30</v>
      </c>
      <c r="I43" t="s">
        <v>8</v>
      </c>
      <c r="J43">
        <v>2</v>
      </c>
      <c r="K43">
        <v>1942</v>
      </c>
      <c r="L43">
        <v>3884</v>
      </c>
      <c r="M43">
        <v>2899.95</v>
      </c>
      <c r="N43">
        <v>984.05</v>
      </c>
      <c r="O43" t="str">
        <f>TEXT(Table1[[#This Row],[Order_Date]],"yyy")</f>
        <v>2025</v>
      </c>
    </row>
    <row r="44" spans="1:15" x14ac:dyDescent="0.3">
      <c r="A44" t="s">
        <v>94</v>
      </c>
      <c r="B44" s="1">
        <v>45975</v>
      </c>
      <c r="C44" t="s">
        <v>3</v>
      </c>
      <c r="D44" t="s">
        <v>9</v>
      </c>
      <c r="E44" t="s">
        <v>18</v>
      </c>
      <c r="F44" t="s">
        <v>29</v>
      </c>
      <c r="G44" t="s">
        <v>29</v>
      </c>
      <c r="H44" t="s">
        <v>30</v>
      </c>
      <c r="I44" t="s">
        <v>8</v>
      </c>
      <c r="J44">
        <v>20</v>
      </c>
      <c r="K44">
        <v>2034</v>
      </c>
      <c r="L44">
        <v>40680</v>
      </c>
      <c r="M44">
        <v>28475.8</v>
      </c>
      <c r="N44">
        <v>12204.2</v>
      </c>
      <c r="O44" t="str">
        <f>TEXT(Table1[[#This Row],[Order_Date]],"yyy")</f>
        <v>2025</v>
      </c>
    </row>
    <row r="45" spans="1:15" x14ac:dyDescent="0.3">
      <c r="A45" t="s">
        <v>95</v>
      </c>
      <c r="B45" s="1">
        <v>45764</v>
      </c>
      <c r="C45" t="s">
        <v>17</v>
      </c>
      <c r="D45" t="s">
        <v>16</v>
      </c>
      <c r="E45" t="s">
        <v>11</v>
      </c>
      <c r="F45" t="s">
        <v>13</v>
      </c>
      <c r="G45" t="s">
        <v>13</v>
      </c>
      <c r="H45" t="s">
        <v>20</v>
      </c>
      <c r="I45" t="s">
        <v>15</v>
      </c>
      <c r="J45">
        <v>10</v>
      </c>
      <c r="K45">
        <v>906</v>
      </c>
      <c r="L45">
        <v>9060</v>
      </c>
      <c r="M45">
        <v>7386.83</v>
      </c>
      <c r="N45">
        <v>1673.17</v>
      </c>
      <c r="O45" t="str">
        <f>TEXT(Table1[[#This Row],[Order_Date]],"yyy")</f>
        <v>2025</v>
      </c>
    </row>
    <row r="46" spans="1:15" x14ac:dyDescent="0.3">
      <c r="A46" t="s">
        <v>96</v>
      </c>
      <c r="B46" s="1">
        <v>45924</v>
      </c>
      <c r="C46" t="s">
        <v>22</v>
      </c>
      <c r="D46" t="s">
        <v>25</v>
      </c>
      <c r="E46" t="s">
        <v>18</v>
      </c>
      <c r="F46" t="s">
        <v>26</v>
      </c>
      <c r="G46" t="s">
        <v>26</v>
      </c>
      <c r="H46" t="s">
        <v>30</v>
      </c>
      <c r="I46" t="s">
        <v>15</v>
      </c>
      <c r="J46">
        <v>14</v>
      </c>
      <c r="K46">
        <v>4145</v>
      </c>
      <c r="L46">
        <v>58030</v>
      </c>
      <c r="M46">
        <v>42340.05</v>
      </c>
      <c r="N46">
        <v>15689.95</v>
      </c>
      <c r="O46" t="str">
        <f>TEXT(Table1[[#This Row],[Order_Date]],"yyy")</f>
        <v>2025</v>
      </c>
    </row>
    <row r="47" spans="1:15" x14ac:dyDescent="0.3">
      <c r="A47" t="s">
        <v>97</v>
      </c>
      <c r="B47" s="1">
        <v>45519</v>
      </c>
      <c r="C47" t="s">
        <v>10</v>
      </c>
      <c r="D47" t="s">
        <v>21</v>
      </c>
      <c r="E47" t="s">
        <v>18</v>
      </c>
      <c r="F47" t="s">
        <v>26</v>
      </c>
      <c r="G47" t="s">
        <v>26</v>
      </c>
      <c r="H47" t="s">
        <v>24</v>
      </c>
      <c r="I47" t="s">
        <v>15</v>
      </c>
      <c r="J47">
        <v>6</v>
      </c>
      <c r="K47">
        <v>1445</v>
      </c>
      <c r="L47">
        <v>8670</v>
      </c>
      <c r="M47">
        <v>6426.35</v>
      </c>
      <c r="N47">
        <v>2243.65</v>
      </c>
      <c r="O47" t="str">
        <f>TEXT(Table1[[#This Row],[Order_Date]],"yyy")</f>
        <v>2024</v>
      </c>
    </row>
    <row r="48" spans="1:15" x14ac:dyDescent="0.3">
      <c r="A48" t="s">
        <v>98</v>
      </c>
      <c r="B48" s="1">
        <v>45596</v>
      </c>
      <c r="C48" t="s">
        <v>3</v>
      </c>
      <c r="D48" t="s">
        <v>25</v>
      </c>
      <c r="E48" t="s">
        <v>4</v>
      </c>
      <c r="F48" t="s">
        <v>32</v>
      </c>
      <c r="G48" t="s">
        <v>32</v>
      </c>
      <c r="H48" t="s">
        <v>7</v>
      </c>
      <c r="I48" t="s">
        <v>15</v>
      </c>
      <c r="J48">
        <v>3</v>
      </c>
      <c r="K48">
        <v>1909</v>
      </c>
      <c r="L48">
        <v>5727</v>
      </c>
      <c r="M48">
        <v>4646.05</v>
      </c>
      <c r="N48">
        <v>1080.95</v>
      </c>
      <c r="O48" t="str">
        <f>TEXT(Table1[[#This Row],[Order_Date]],"yyy")</f>
        <v>2024</v>
      </c>
    </row>
    <row r="49" spans="1:15" x14ac:dyDescent="0.3">
      <c r="A49" t="s">
        <v>99</v>
      </c>
      <c r="B49" s="1">
        <v>45465</v>
      </c>
      <c r="C49" t="s">
        <v>3</v>
      </c>
      <c r="D49" t="s">
        <v>9</v>
      </c>
      <c r="E49" t="s">
        <v>4</v>
      </c>
      <c r="F49" t="s">
        <v>32</v>
      </c>
      <c r="G49" t="s">
        <v>32</v>
      </c>
      <c r="H49" t="s">
        <v>35</v>
      </c>
      <c r="I49" t="s">
        <v>15</v>
      </c>
      <c r="J49">
        <v>3</v>
      </c>
      <c r="K49">
        <v>2285</v>
      </c>
      <c r="L49">
        <v>6855</v>
      </c>
      <c r="M49">
        <v>4500.6000000000004</v>
      </c>
      <c r="N49">
        <v>2354.4</v>
      </c>
      <c r="O49" t="str">
        <f>TEXT(Table1[[#This Row],[Order_Date]],"yyy")</f>
        <v>2024</v>
      </c>
    </row>
    <row r="50" spans="1:15" x14ac:dyDescent="0.3">
      <c r="A50" t="s">
        <v>100</v>
      </c>
      <c r="B50" s="1">
        <v>45872</v>
      </c>
      <c r="C50" t="s">
        <v>10</v>
      </c>
      <c r="D50" t="s">
        <v>21</v>
      </c>
      <c r="E50" t="s">
        <v>18</v>
      </c>
      <c r="F50" t="s">
        <v>34</v>
      </c>
      <c r="G50" t="s">
        <v>34</v>
      </c>
      <c r="H50" t="s">
        <v>35</v>
      </c>
      <c r="I50" t="s">
        <v>15</v>
      </c>
      <c r="J50">
        <v>8</v>
      </c>
      <c r="K50">
        <v>815</v>
      </c>
      <c r="L50">
        <v>6520</v>
      </c>
      <c r="M50">
        <v>5267.23</v>
      </c>
      <c r="N50">
        <v>1252.77</v>
      </c>
      <c r="O50" t="str">
        <f>TEXT(Table1[[#This Row],[Order_Date]],"yyy")</f>
        <v>2025</v>
      </c>
    </row>
    <row r="51" spans="1:15" x14ac:dyDescent="0.3">
      <c r="A51" t="s">
        <v>101</v>
      </c>
      <c r="B51" s="1">
        <v>45868</v>
      </c>
      <c r="C51" t="s">
        <v>10</v>
      </c>
      <c r="D51" t="s">
        <v>16</v>
      </c>
      <c r="E51" t="s">
        <v>4</v>
      </c>
      <c r="F51" t="s">
        <v>36</v>
      </c>
      <c r="G51" t="s">
        <v>36</v>
      </c>
      <c r="H51" t="s">
        <v>30</v>
      </c>
      <c r="I51" t="s">
        <v>8</v>
      </c>
      <c r="J51">
        <v>2</v>
      </c>
      <c r="K51">
        <v>4478</v>
      </c>
      <c r="L51">
        <v>8956</v>
      </c>
      <c r="M51">
        <v>7060.76</v>
      </c>
      <c r="N51">
        <v>1895.24</v>
      </c>
      <c r="O51" t="str">
        <f>TEXT(Table1[[#This Row],[Order_Date]],"yyy")</f>
        <v>2025</v>
      </c>
    </row>
    <row r="52" spans="1:15" x14ac:dyDescent="0.3">
      <c r="A52" t="s">
        <v>102</v>
      </c>
      <c r="B52" s="1">
        <v>45549</v>
      </c>
      <c r="C52" t="s">
        <v>17</v>
      </c>
      <c r="D52" t="s">
        <v>21</v>
      </c>
      <c r="E52" t="s">
        <v>11</v>
      </c>
      <c r="F52" t="s">
        <v>13</v>
      </c>
      <c r="G52" t="s">
        <v>13</v>
      </c>
      <c r="H52" t="s">
        <v>7</v>
      </c>
      <c r="I52" t="s">
        <v>15</v>
      </c>
      <c r="J52">
        <v>19</v>
      </c>
      <c r="K52">
        <v>4557</v>
      </c>
      <c r="L52">
        <v>86583</v>
      </c>
      <c r="M52">
        <v>65495.55</v>
      </c>
      <c r="N52">
        <v>21087.45</v>
      </c>
      <c r="O52" t="str">
        <f>TEXT(Table1[[#This Row],[Order_Date]],"yyy")</f>
        <v>2024</v>
      </c>
    </row>
    <row r="53" spans="1:15" x14ac:dyDescent="0.3">
      <c r="A53" t="s">
        <v>103</v>
      </c>
      <c r="B53" s="1">
        <v>45349</v>
      </c>
      <c r="C53" t="s">
        <v>3</v>
      </c>
      <c r="D53" t="s">
        <v>21</v>
      </c>
      <c r="E53" t="s">
        <v>18</v>
      </c>
      <c r="F53" t="s">
        <v>34</v>
      </c>
      <c r="G53" t="s">
        <v>34</v>
      </c>
      <c r="H53" t="s">
        <v>14</v>
      </c>
      <c r="I53" t="s">
        <v>8</v>
      </c>
      <c r="J53">
        <v>19</v>
      </c>
      <c r="K53">
        <v>2420</v>
      </c>
      <c r="L53">
        <v>45980</v>
      </c>
      <c r="M53">
        <v>26783.5</v>
      </c>
      <c r="N53">
        <v>19196.5</v>
      </c>
      <c r="O53" t="str">
        <f>TEXT(Table1[[#This Row],[Order_Date]],"yyy")</f>
        <v>2024</v>
      </c>
    </row>
    <row r="54" spans="1:15" x14ac:dyDescent="0.3">
      <c r="A54" t="s">
        <v>104</v>
      </c>
      <c r="B54" s="1">
        <v>45842</v>
      </c>
      <c r="C54" t="s">
        <v>10</v>
      </c>
      <c r="D54" t="s">
        <v>25</v>
      </c>
      <c r="E54" t="s">
        <v>11</v>
      </c>
      <c r="F54" t="s">
        <v>19</v>
      </c>
      <c r="G54" t="s">
        <v>19</v>
      </c>
      <c r="H54" t="s">
        <v>7</v>
      </c>
      <c r="I54" t="s">
        <v>8</v>
      </c>
      <c r="J54">
        <v>12</v>
      </c>
      <c r="K54">
        <v>269</v>
      </c>
      <c r="L54">
        <v>3228</v>
      </c>
      <c r="M54">
        <v>1848.18</v>
      </c>
      <c r="N54">
        <v>1379.82</v>
      </c>
      <c r="O54" t="str">
        <f>TEXT(Table1[[#This Row],[Order_Date]],"yyy")</f>
        <v>2025</v>
      </c>
    </row>
    <row r="55" spans="1:15" x14ac:dyDescent="0.3">
      <c r="A55" t="s">
        <v>105</v>
      </c>
      <c r="B55" s="1">
        <v>45779</v>
      </c>
      <c r="C55" t="s">
        <v>17</v>
      </c>
      <c r="D55" t="s">
        <v>16</v>
      </c>
      <c r="E55" t="s">
        <v>11</v>
      </c>
      <c r="F55" t="s">
        <v>19</v>
      </c>
      <c r="G55" t="s">
        <v>19</v>
      </c>
      <c r="H55" t="s">
        <v>27</v>
      </c>
      <c r="I55" t="s">
        <v>8</v>
      </c>
      <c r="J55">
        <v>18</v>
      </c>
      <c r="K55">
        <v>3406</v>
      </c>
      <c r="L55">
        <v>61308</v>
      </c>
      <c r="M55">
        <v>45879.96</v>
      </c>
      <c r="N55">
        <v>15428.04</v>
      </c>
      <c r="O55" t="str">
        <f>TEXT(Table1[[#This Row],[Order_Date]],"yyy")</f>
        <v>2025</v>
      </c>
    </row>
    <row r="56" spans="1:15" x14ac:dyDescent="0.3">
      <c r="A56" t="s">
        <v>106</v>
      </c>
      <c r="B56" s="1">
        <v>45980</v>
      </c>
      <c r="C56" t="s">
        <v>17</v>
      </c>
      <c r="D56" t="s">
        <v>9</v>
      </c>
      <c r="E56" t="s">
        <v>4</v>
      </c>
      <c r="F56" t="s">
        <v>23</v>
      </c>
      <c r="G56" t="s">
        <v>23</v>
      </c>
      <c r="H56" t="s">
        <v>35</v>
      </c>
      <c r="I56" t="s">
        <v>15</v>
      </c>
      <c r="J56">
        <v>11</v>
      </c>
      <c r="K56">
        <v>4749</v>
      </c>
      <c r="L56">
        <v>52239</v>
      </c>
      <c r="M56">
        <v>30830.17</v>
      </c>
      <c r="N56">
        <v>21408.83</v>
      </c>
      <c r="O56" t="str">
        <f>TEXT(Table1[[#This Row],[Order_Date]],"yyy")</f>
        <v>2025</v>
      </c>
    </row>
    <row r="57" spans="1:15" x14ac:dyDescent="0.3">
      <c r="A57" t="s">
        <v>107</v>
      </c>
      <c r="B57" s="1">
        <v>45829</v>
      </c>
      <c r="C57" t="s">
        <v>10</v>
      </c>
      <c r="D57" t="s">
        <v>28</v>
      </c>
      <c r="E57" t="s">
        <v>4</v>
      </c>
      <c r="F57" t="s">
        <v>36</v>
      </c>
      <c r="G57" t="s">
        <v>36</v>
      </c>
      <c r="H57" t="s">
        <v>27</v>
      </c>
      <c r="I57" t="s">
        <v>8</v>
      </c>
      <c r="J57">
        <v>18</v>
      </c>
      <c r="K57">
        <v>3573</v>
      </c>
      <c r="L57">
        <v>64314</v>
      </c>
      <c r="M57">
        <v>43221.83</v>
      </c>
      <c r="N57">
        <v>21092.17</v>
      </c>
      <c r="O57" t="str">
        <f>TEXT(Table1[[#This Row],[Order_Date]],"yyy")</f>
        <v>2025</v>
      </c>
    </row>
    <row r="58" spans="1:15" x14ac:dyDescent="0.3">
      <c r="A58" t="s">
        <v>108</v>
      </c>
      <c r="B58" s="1">
        <v>45611</v>
      </c>
      <c r="C58" t="s">
        <v>17</v>
      </c>
      <c r="D58" t="s">
        <v>28</v>
      </c>
      <c r="E58" t="s">
        <v>4</v>
      </c>
      <c r="F58" t="s">
        <v>23</v>
      </c>
      <c r="G58" t="s">
        <v>23</v>
      </c>
      <c r="H58" t="s">
        <v>30</v>
      </c>
      <c r="I58" t="s">
        <v>8</v>
      </c>
      <c r="J58">
        <v>18</v>
      </c>
      <c r="K58">
        <v>4103</v>
      </c>
      <c r="L58">
        <v>73854</v>
      </c>
      <c r="M58">
        <v>42823.73</v>
      </c>
      <c r="N58">
        <v>31030.27</v>
      </c>
      <c r="O58" t="str">
        <f>TEXT(Table1[[#This Row],[Order_Date]],"yyy")</f>
        <v>2024</v>
      </c>
    </row>
    <row r="59" spans="1:15" x14ac:dyDescent="0.3">
      <c r="A59" t="s">
        <v>109</v>
      </c>
      <c r="B59" s="1">
        <v>45582</v>
      </c>
      <c r="C59" t="s">
        <v>17</v>
      </c>
      <c r="D59" t="s">
        <v>31</v>
      </c>
      <c r="E59" t="s">
        <v>18</v>
      </c>
      <c r="F59" t="s">
        <v>34</v>
      </c>
      <c r="G59" t="s">
        <v>34</v>
      </c>
      <c r="H59" t="s">
        <v>20</v>
      </c>
      <c r="I59" t="s">
        <v>8</v>
      </c>
      <c r="J59">
        <v>1</v>
      </c>
      <c r="K59">
        <v>3505</v>
      </c>
      <c r="L59">
        <v>3505</v>
      </c>
      <c r="M59">
        <v>2113.9299999999998</v>
      </c>
      <c r="N59">
        <v>1391.07</v>
      </c>
      <c r="O59" t="str">
        <f>TEXT(Table1[[#This Row],[Order_Date]],"yyy")</f>
        <v>2024</v>
      </c>
    </row>
    <row r="60" spans="1:15" x14ac:dyDescent="0.3">
      <c r="A60" t="s">
        <v>110</v>
      </c>
      <c r="B60" s="1">
        <v>45300</v>
      </c>
      <c r="C60" t="s">
        <v>3</v>
      </c>
      <c r="D60" t="s">
        <v>21</v>
      </c>
      <c r="E60" t="s">
        <v>18</v>
      </c>
      <c r="F60" t="s">
        <v>34</v>
      </c>
      <c r="G60" t="s">
        <v>34</v>
      </c>
      <c r="H60" t="s">
        <v>30</v>
      </c>
      <c r="I60" t="s">
        <v>8</v>
      </c>
      <c r="J60">
        <v>3</v>
      </c>
      <c r="K60">
        <v>1417</v>
      </c>
      <c r="L60">
        <v>4251</v>
      </c>
      <c r="M60">
        <v>2584.83</v>
      </c>
      <c r="N60">
        <v>1666.17</v>
      </c>
      <c r="O60" t="str">
        <f>TEXT(Table1[[#This Row],[Order_Date]],"yyy")</f>
        <v>2024</v>
      </c>
    </row>
    <row r="61" spans="1:15" x14ac:dyDescent="0.3">
      <c r="A61" t="s">
        <v>111</v>
      </c>
      <c r="B61" s="1">
        <v>45824</v>
      </c>
      <c r="C61" t="s">
        <v>3</v>
      </c>
      <c r="D61" t="s">
        <v>28</v>
      </c>
      <c r="E61" t="s">
        <v>4</v>
      </c>
      <c r="F61" t="s">
        <v>36</v>
      </c>
      <c r="G61" t="s">
        <v>36</v>
      </c>
      <c r="H61" t="s">
        <v>33</v>
      </c>
      <c r="I61" t="s">
        <v>15</v>
      </c>
      <c r="J61">
        <v>4</v>
      </c>
      <c r="K61">
        <v>4999</v>
      </c>
      <c r="L61">
        <v>19996</v>
      </c>
      <c r="M61">
        <v>11066.66</v>
      </c>
      <c r="N61">
        <v>8929.34</v>
      </c>
      <c r="O61" t="str">
        <f>TEXT(Table1[[#This Row],[Order_Date]],"yyy")</f>
        <v>2025</v>
      </c>
    </row>
    <row r="62" spans="1:15" x14ac:dyDescent="0.3">
      <c r="A62" t="s">
        <v>112</v>
      </c>
      <c r="B62" s="1">
        <v>45500</v>
      </c>
      <c r="C62" t="s">
        <v>22</v>
      </c>
      <c r="D62" t="s">
        <v>16</v>
      </c>
      <c r="E62" t="s">
        <v>4</v>
      </c>
      <c r="F62" t="s">
        <v>36</v>
      </c>
      <c r="G62" t="s">
        <v>36</v>
      </c>
      <c r="H62" t="s">
        <v>24</v>
      </c>
      <c r="I62" t="s">
        <v>15</v>
      </c>
      <c r="J62">
        <v>17</v>
      </c>
      <c r="K62">
        <v>2288</v>
      </c>
      <c r="L62">
        <v>38896</v>
      </c>
      <c r="M62">
        <v>22741.759999999998</v>
      </c>
      <c r="N62">
        <v>16154.24</v>
      </c>
      <c r="O62" t="str">
        <f>TEXT(Table1[[#This Row],[Order_Date]],"yyy")</f>
        <v>2024</v>
      </c>
    </row>
    <row r="63" spans="1:15" x14ac:dyDescent="0.3">
      <c r="A63" t="s">
        <v>113</v>
      </c>
      <c r="B63" s="1">
        <v>46017</v>
      </c>
      <c r="C63" t="s">
        <v>17</v>
      </c>
      <c r="D63" t="s">
        <v>28</v>
      </c>
      <c r="E63" t="s">
        <v>11</v>
      </c>
      <c r="F63" t="s">
        <v>6</v>
      </c>
      <c r="G63" t="s">
        <v>6</v>
      </c>
      <c r="H63" t="s">
        <v>20</v>
      </c>
      <c r="I63" t="s">
        <v>15</v>
      </c>
      <c r="J63">
        <v>12</v>
      </c>
      <c r="K63">
        <v>294</v>
      </c>
      <c r="L63">
        <v>3528</v>
      </c>
      <c r="M63">
        <v>2981.23</v>
      </c>
      <c r="N63">
        <v>546.77</v>
      </c>
      <c r="O63" t="str">
        <f>TEXT(Table1[[#This Row],[Order_Date]],"yyy")</f>
        <v>2025</v>
      </c>
    </row>
    <row r="64" spans="1:15" x14ac:dyDescent="0.3">
      <c r="A64" t="s">
        <v>114</v>
      </c>
      <c r="B64" s="1">
        <v>45901</v>
      </c>
      <c r="C64" t="s">
        <v>17</v>
      </c>
      <c r="D64" t="s">
        <v>28</v>
      </c>
      <c r="E64" t="s">
        <v>11</v>
      </c>
      <c r="F64" t="s">
        <v>13</v>
      </c>
      <c r="G64" t="s">
        <v>13</v>
      </c>
      <c r="H64" t="s">
        <v>24</v>
      </c>
      <c r="I64" t="s">
        <v>8</v>
      </c>
      <c r="J64">
        <v>3</v>
      </c>
      <c r="K64">
        <v>3640</v>
      </c>
      <c r="L64">
        <v>10920</v>
      </c>
      <c r="M64">
        <v>6733.49</v>
      </c>
      <c r="N64">
        <v>4186.51</v>
      </c>
      <c r="O64" t="str">
        <f>TEXT(Table1[[#This Row],[Order_Date]],"yyy")</f>
        <v>2025</v>
      </c>
    </row>
    <row r="65" spans="1:15" x14ac:dyDescent="0.3">
      <c r="A65" t="s">
        <v>115</v>
      </c>
      <c r="B65" s="1">
        <v>45933</v>
      </c>
      <c r="C65" t="s">
        <v>17</v>
      </c>
      <c r="D65" t="s">
        <v>21</v>
      </c>
      <c r="E65" t="s">
        <v>11</v>
      </c>
      <c r="F65" t="s">
        <v>19</v>
      </c>
      <c r="G65" t="s">
        <v>19</v>
      </c>
      <c r="H65" t="s">
        <v>33</v>
      </c>
      <c r="I65" t="s">
        <v>15</v>
      </c>
      <c r="J65">
        <v>8</v>
      </c>
      <c r="K65">
        <v>2320</v>
      </c>
      <c r="L65">
        <v>18560</v>
      </c>
      <c r="M65">
        <v>10498.12</v>
      </c>
      <c r="N65">
        <v>8061.88</v>
      </c>
      <c r="O65" t="str">
        <f>TEXT(Table1[[#This Row],[Order_Date]],"yyy")</f>
        <v>2025</v>
      </c>
    </row>
    <row r="66" spans="1:15" x14ac:dyDescent="0.3">
      <c r="A66" t="s">
        <v>116</v>
      </c>
      <c r="B66" s="1">
        <v>45645</v>
      </c>
      <c r="C66" t="s">
        <v>3</v>
      </c>
      <c r="D66" t="s">
        <v>25</v>
      </c>
      <c r="E66" t="s">
        <v>11</v>
      </c>
      <c r="F66" t="s">
        <v>13</v>
      </c>
      <c r="G66" t="s">
        <v>13</v>
      </c>
      <c r="H66" t="s">
        <v>24</v>
      </c>
      <c r="I66" t="s">
        <v>15</v>
      </c>
      <c r="J66">
        <v>19</v>
      </c>
      <c r="K66">
        <v>2369</v>
      </c>
      <c r="L66">
        <v>45011</v>
      </c>
      <c r="M66">
        <v>30000.09</v>
      </c>
      <c r="N66">
        <v>15010.91</v>
      </c>
      <c r="O66" t="str">
        <f>TEXT(Table1[[#This Row],[Order_Date]],"yyy")</f>
        <v>2024</v>
      </c>
    </row>
    <row r="67" spans="1:15" x14ac:dyDescent="0.3">
      <c r="A67" t="s">
        <v>117</v>
      </c>
      <c r="B67" s="1">
        <v>45387</v>
      </c>
      <c r="C67" t="s">
        <v>3</v>
      </c>
      <c r="D67" t="s">
        <v>25</v>
      </c>
      <c r="E67" t="s">
        <v>4</v>
      </c>
      <c r="F67" t="s">
        <v>36</v>
      </c>
      <c r="G67" t="s">
        <v>36</v>
      </c>
      <c r="H67" t="s">
        <v>20</v>
      </c>
      <c r="I67" t="s">
        <v>8</v>
      </c>
      <c r="J67">
        <v>16</v>
      </c>
      <c r="K67">
        <v>459</v>
      </c>
      <c r="L67">
        <v>7344</v>
      </c>
      <c r="M67">
        <v>4463.7</v>
      </c>
      <c r="N67">
        <v>2880.3</v>
      </c>
      <c r="O67" t="str">
        <f>TEXT(Table1[[#This Row],[Order_Date]],"yyy")</f>
        <v>2024</v>
      </c>
    </row>
    <row r="68" spans="1:15" x14ac:dyDescent="0.3">
      <c r="A68" t="s">
        <v>118</v>
      </c>
      <c r="B68" s="1">
        <v>45970</v>
      </c>
      <c r="C68" t="s">
        <v>22</v>
      </c>
      <c r="D68" t="s">
        <v>9</v>
      </c>
      <c r="E68" t="s">
        <v>4</v>
      </c>
      <c r="F68" t="s">
        <v>23</v>
      </c>
      <c r="G68" t="s">
        <v>23</v>
      </c>
      <c r="H68" t="s">
        <v>27</v>
      </c>
      <c r="I68" t="s">
        <v>8</v>
      </c>
      <c r="J68">
        <v>7</v>
      </c>
      <c r="K68">
        <v>614</v>
      </c>
      <c r="L68">
        <v>4298</v>
      </c>
      <c r="M68">
        <v>3079.53</v>
      </c>
      <c r="N68">
        <v>1218.47</v>
      </c>
      <c r="O68" t="str">
        <f>TEXT(Table1[[#This Row],[Order_Date]],"yyy")</f>
        <v>2025</v>
      </c>
    </row>
    <row r="69" spans="1:15" x14ac:dyDescent="0.3">
      <c r="A69" t="s">
        <v>119</v>
      </c>
      <c r="B69" s="1">
        <v>46004</v>
      </c>
      <c r="C69" t="s">
        <v>10</v>
      </c>
      <c r="D69" t="s">
        <v>25</v>
      </c>
      <c r="E69" t="s">
        <v>4</v>
      </c>
      <c r="F69" t="s">
        <v>32</v>
      </c>
      <c r="G69" t="s">
        <v>32</v>
      </c>
      <c r="H69" t="s">
        <v>14</v>
      </c>
      <c r="I69" t="s">
        <v>15</v>
      </c>
      <c r="J69">
        <v>19</v>
      </c>
      <c r="K69">
        <v>4719</v>
      </c>
      <c r="L69">
        <v>89661</v>
      </c>
      <c r="M69">
        <v>74002.53</v>
      </c>
      <c r="N69">
        <v>15658.47</v>
      </c>
      <c r="O69" t="str">
        <f>TEXT(Table1[[#This Row],[Order_Date]],"yyy")</f>
        <v>2025</v>
      </c>
    </row>
    <row r="70" spans="1:15" x14ac:dyDescent="0.3">
      <c r="A70" t="s">
        <v>120</v>
      </c>
      <c r="B70" s="1">
        <v>45395</v>
      </c>
      <c r="C70" t="s">
        <v>3</v>
      </c>
      <c r="D70" t="s">
        <v>31</v>
      </c>
      <c r="E70" t="s">
        <v>11</v>
      </c>
      <c r="F70" t="s">
        <v>6</v>
      </c>
      <c r="G70" t="s">
        <v>6</v>
      </c>
      <c r="H70" t="s">
        <v>7</v>
      </c>
      <c r="I70" t="s">
        <v>8</v>
      </c>
      <c r="J70">
        <v>20</v>
      </c>
      <c r="K70">
        <v>1639</v>
      </c>
      <c r="L70">
        <v>32780</v>
      </c>
      <c r="M70">
        <v>25408.400000000001</v>
      </c>
      <c r="N70">
        <v>7371.6</v>
      </c>
      <c r="O70" t="str">
        <f>TEXT(Table1[[#This Row],[Order_Date]],"yyy")</f>
        <v>2024</v>
      </c>
    </row>
    <row r="71" spans="1:15" x14ac:dyDescent="0.3">
      <c r="A71" t="s">
        <v>121</v>
      </c>
      <c r="B71" s="1">
        <v>45317</v>
      </c>
      <c r="C71" t="s">
        <v>17</v>
      </c>
      <c r="D71" t="s">
        <v>28</v>
      </c>
      <c r="E71" t="s">
        <v>11</v>
      </c>
      <c r="F71" t="s">
        <v>6</v>
      </c>
      <c r="G71" t="s">
        <v>6</v>
      </c>
      <c r="H71" t="s">
        <v>24</v>
      </c>
      <c r="I71" t="s">
        <v>15</v>
      </c>
      <c r="J71">
        <v>9</v>
      </c>
      <c r="K71">
        <v>3866</v>
      </c>
      <c r="L71">
        <v>34794</v>
      </c>
      <c r="M71">
        <v>20641.669999999998</v>
      </c>
      <c r="N71">
        <v>14152.33</v>
      </c>
      <c r="O71" t="str">
        <f>TEXT(Table1[[#This Row],[Order_Date]],"yyy")</f>
        <v>2024</v>
      </c>
    </row>
    <row r="72" spans="1:15" x14ac:dyDescent="0.3">
      <c r="A72" t="s">
        <v>122</v>
      </c>
      <c r="B72" s="1">
        <v>45397</v>
      </c>
      <c r="C72" t="s">
        <v>22</v>
      </c>
      <c r="D72" t="s">
        <v>16</v>
      </c>
      <c r="E72" t="s">
        <v>4</v>
      </c>
      <c r="F72" t="s">
        <v>36</v>
      </c>
      <c r="G72" t="s">
        <v>36</v>
      </c>
      <c r="H72" t="s">
        <v>20</v>
      </c>
      <c r="I72" t="s">
        <v>8</v>
      </c>
      <c r="J72">
        <v>9</v>
      </c>
      <c r="K72">
        <v>2162</v>
      </c>
      <c r="L72">
        <v>19458</v>
      </c>
      <c r="M72">
        <v>15107.96</v>
      </c>
      <c r="N72">
        <v>4350.04</v>
      </c>
      <c r="O72" t="str">
        <f>TEXT(Table1[[#This Row],[Order_Date]],"yyy")</f>
        <v>2024</v>
      </c>
    </row>
    <row r="73" spans="1:15" x14ac:dyDescent="0.3">
      <c r="A73" t="s">
        <v>123</v>
      </c>
      <c r="B73" s="1">
        <v>45430</v>
      </c>
      <c r="C73" t="s">
        <v>10</v>
      </c>
      <c r="D73" t="s">
        <v>25</v>
      </c>
      <c r="E73" t="s">
        <v>11</v>
      </c>
      <c r="F73" t="s">
        <v>6</v>
      </c>
      <c r="G73" t="s">
        <v>6</v>
      </c>
      <c r="H73" t="s">
        <v>20</v>
      </c>
      <c r="I73" t="s">
        <v>15</v>
      </c>
      <c r="J73">
        <v>7</v>
      </c>
      <c r="K73">
        <v>383</v>
      </c>
      <c r="L73">
        <v>2681</v>
      </c>
      <c r="M73">
        <v>2195.88</v>
      </c>
      <c r="N73">
        <v>485.12</v>
      </c>
      <c r="O73" t="str">
        <f>TEXT(Table1[[#This Row],[Order_Date]],"yyy")</f>
        <v>2024</v>
      </c>
    </row>
    <row r="74" spans="1:15" x14ac:dyDescent="0.3">
      <c r="A74" t="s">
        <v>124</v>
      </c>
      <c r="B74" s="1">
        <v>45960</v>
      </c>
      <c r="C74" t="s">
        <v>3</v>
      </c>
      <c r="D74" t="s">
        <v>21</v>
      </c>
      <c r="E74" t="s">
        <v>11</v>
      </c>
      <c r="F74" t="s">
        <v>6</v>
      </c>
      <c r="G74" t="s">
        <v>6</v>
      </c>
      <c r="H74" t="s">
        <v>24</v>
      </c>
      <c r="I74" t="s">
        <v>15</v>
      </c>
      <c r="J74">
        <v>19</v>
      </c>
      <c r="K74">
        <v>3805</v>
      </c>
      <c r="L74">
        <v>72295</v>
      </c>
      <c r="M74">
        <v>55918.27</v>
      </c>
      <c r="N74">
        <v>16376.73</v>
      </c>
      <c r="O74" t="str">
        <f>TEXT(Table1[[#This Row],[Order_Date]],"yyy")</f>
        <v>2025</v>
      </c>
    </row>
    <row r="75" spans="1:15" x14ac:dyDescent="0.3">
      <c r="A75" t="s">
        <v>125</v>
      </c>
      <c r="B75" s="1">
        <v>45974</v>
      </c>
      <c r="C75" t="s">
        <v>3</v>
      </c>
      <c r="D75" t="s">
        <v>25</v>
      </c>
      <c r="E75" t="s">
        <v>18</v>
      </c>
      <c r="F75" t="s">
        <v>34</v>
      </c>
      <c r="G75" t="s">
        <v>34</v>
      </c>
      <c r="H75" t="s">
        <v>24</v>
      </c>
      <c r="I75" t="s">
        <v>8</v>
      </c>
      <c r="J75">
        <v>11</v>
      </c>
      <c r="K75">
        <v>2775</v>
      </c>
      <c r="L75">
        <v>30525</v>
      </c>
      <c r="M75">
        <v>22382.76</v>
      </c>
      <c r="N75">
        <v>8142.24</v>
      </c>
      <c r="O75" t="str">
        <f>TEXT(Table1[[#This Row],[Order_Date]],"yyy")</f>
        <v>2025</v>
      </c>
    </row>
    <row r="76" spans="1:15" x14ac:dyDescent="0.3">
      <c r="A76" t="s">
        <v>126</v>
      </c>
      <c r="B76" s="1">
        <v>45719</v>
      </c>
      <c r="C76" t="s">
        <v>10</v>
      </c>
      <c r="D76" t="s">
        <v>28</v>
      </c>
      <c r="E76" t="s">
        <v>11</v>
      </c>
      <c r="F76" t="s">
        <v>13</v>
      </c>
      <c r="G76" t="s">
        <v>13</v>
      </c>
      <c r="H76" t="s">
        <v>24</v>
      </c>
      <c r="I76" t="s">
        <v>8</v>
      </c>
      <c r="J76">
        <v>4</v>
      </c>
      <c r="K76">
        <v>4340</v>
      </c>
      <c r="L76">
        <v>17360</v>
      </c>
      <c r="M76">
        <v>9867.98</v>
      </c>
      <c r="N76">
        <v>7492.02</v>
      </c>
      <c r="O76" t="str">
        <f>TEXT(Table1[[#This Row],[Order_Date]],"yyy")</f>
        <v>2025</v>
      </c>
    </row>
    <row r="77" spans="1:15" x14ac:dyDescent="0.3">
      <c r="A77" t="s">
        <v>127</v>
      </c>
      <c r="B77" s="1">
        <v>45514</v>
      </c>
      <c r="C77" t="s">
        <v>3</v>
      </c>
      <c r="D77" t="s">
        <v>25</v>
      </c>
      <c r="E77" t="s">
        <v>4</v>
      </c>
      <c r="F77" t="s">
        <v>36</v>
      </c>
      <c r="G77" t="s">
        <v>36</v>
      </c>
      <c r="H77" t="s">
        <v>14</v>
      </c>
      <c r="I77" t="s">
        <v>15</v>
      </c>
      <c r="J77">
        <v>11</v>
      </c>
      <c r="K77">
        <v>222</v>
      </c>
      <c r="L77">
        <v>2442</v>
      </c>
      <c r="M77">
        <v>1951.95</v>
      </c>
      <c r="N77">
        <v>490.05</v>
      </c>
      <c r="O77" t="str">
        <f>TEXT(Table1[[#This Row],[Order_Date]],"yyy")</f>
        <v>2024</v>
      </c>
    </row>
    <row r="78" spans="1:15" x14ac:dyDescent="0.3">
      <c r="A78" t="s">
        <v>128</v>
      </c>
      <c r="B78" s="1">
        <v>45383</v>
      </c>
      <c r="C78" t="s">
        <v>10</v>
      </c>
      <c r="D78" t="s">
        <v>9</v>
      </c>
      <c r="E78" t="s">
        <v>4</v>
      </c>
      <c r="F78" t="s">
        <v>32</v>
      </c>
      <c r="G78" t="s">
        <v>32</v>
      </c>
      <c r="H78" t="s">
        <v>35</v>
      </c>
      <c r="I78" t="s">
        <v>8</v>
      </c>
      <c r="J78">
        <v>18</v>
      </c>
      <c r="K78">
        <v>3195</v>
      </c>
      <c r="L78">
        <v>57510</v>
      </c>
      <c r="M78">
        <v>41222.83</v>
      </c>
      <c r="N78">
        <v>16287.17</v>
      </c>
      <c r="O78" t="str">
        <f>TEXT(Table1[[#This Row],[Order_Date]],"yyy")</f>
        <v>2024</v>
      </c>
    </row>
    <row r="79" spans="1:15" x14ac:dyDescent="0.3">
      <c r="A79" t="s">
        <v>129</v>
      </c>
      <c r="B79" s="1">
        <v>45628</v>
      </c>
      <c r="C79" t="s">
        <v>10</v>
      </c>
      <c r="D79" t="s">
        <v>21</v>
      </c>
      <c r="E79" t="s">
        <v>11</v>
      </c>
      <c r="F79" t="s">
        <v>19</v>
      </c>
      <c r="G79" t="s">
        <v>19</v>
      </c>
      <c r="H79" t="s">
        <v>24</v>
      </c>
      <c r="I79" t="s">
        <v>8</v>
      </c>
      <c r="J79">
        <v>4</v>
      </c>
      <c r="K79">
        <v>4025</v>
      </c>
      <c r="L79">
        <v>16100</v>
      </c>
      <c r="M79">
        <v>12673.04</v>
      </c>
      <c r="N79">
        <v>3426.96</v>
      </c>
      <c r="O79" t="str">
        <f>TEXT(Table1[[#This Row],[Order_Date]],"yyy")</f>
        <v>2024</v>
      </c>
    </row>
    <row r="80" spans="1:15" x14ac:dyDescent="0.3">
      <c r="A80" t="s">
        <v>130</v>
      </c>
      <c r="B80" s="1">
        <v>45385</v>
      </c>
      <c r="C80" t="s">
        <v>22</v>
      </c>
      <c r="D80" t="s">
        <v>21</v>
      </c>
      <c r="E80" t="s">
        <v>11</v>
      </c>
      <c r="F80" t="s">
        <v>6</v>
      </c>
      <c r="G80" t="s">
        <v>6</v>
      </c>
      <c r="H80" t="s">
        <v>35</v>
      </c>
      <c r="I80" t="s">
        <v>15</v>
      </c>
      <c r="J80">
        <v>7</v>
      </c>
      <c r="K80">
        <v>1267</v>
      </c>
      <c r="L80">
        <v>8869</v>
      </c>
      <c r="M80">
        <v>6312.39</v>
      </c>
      <c r="N80">
        <v>2556.61</v>
      </c>
      <c r="O80" t="str">
        <f>TEXT(Table1[[#This Row],[Order_Date]],"yyy")</f>
        <v>2024</v>
      </c>
    </row>
    <row r="81" spans="1:15" x14ac:dyDescent="0.3">
      <c r="A81" t="s">
        <v>131</v>
      </c>
      <c r="B81" s="1">
        <v>45509</v>
      </c>
      <c r="C81" t="s">
        <v>10</v>
      </c>
      <c r="D81" t="s">
        <v>21</v>
      </c>
      <c r="E81" t="s">
        <v>4</v>
      </c>
      <c r="F81" t="s">
        <v>23</v>
      </c>
      <c r="G81" t="s">
        <v>23</v>
      </c>
      <c r="H81" t="s">
        <v>24</v>
      </c>
      <c r="I81" t="s">
        <v>8</v>
      </c>
      <c r="J81">
        <v>5</v>
      </c>
      <c r="K81">
        <v>2931</v>
      </c>
      <c r="L81">
        <v>14655</v>
      </c>
      <c r="M81">
        <v>11445.26</v>
      </c>
      <c r="N81">
        <v>3209.74</v>
      </c>
      <c r="O81" t="str">
        <f>TEXT(Table1[[#This Row],[Order_Date]],"yyy")</f>
        <v>2024</v>
      </c>
    </row>
    <row r="82" spans="1:15" x14ac:dyDescent="0.3">
      <c r="A82" t="s">
        <v>132</v>
      </c>
      <c r="B82" s="1">
        <v>45701</v>
      </c>
      <c r="C82" t="s">
        <v>10</v>
      </c>
      <c r="D82" t="s">
        <v>9</v>
      </c>
      <c r="E82" t="s">
        <v>4</v>
      </c>
      <c r="F82" t="s">
        <v>36</v>
      </c>
      <c r="G82" t="s">
        <v>36</v>
      </c>
      <c r="H82" t="s">
        <v>14</v>
      </c>
      <c r="I82" t="s">
        <v>8</v>
      </c>
      <c r="J82">
        <v>3</v>
      </c>
      <c r="K82">
        <v>730</v>
      </c>
      <c r="L82">
        <v>2190</v>
      </c>
      <c r="M82">
        <v>1416.97</v>
      </c>
      <c r="N82">
        <v>773.03</v>
      </c>
      <c r="O82" t="str">
        <f>TEXT(Table1[[#This Row],[Order_Date]],"yyy")</f>
        <v>2025</v>
      </c>
    </row>
    <row r="83" spans="1:15" x14ac:dyDescent="0.3">
      <c r="A83" t="s">
        <v>133</v>
      </c>
      <c r="B83" s="1">
        <v>45573</v>
      </c>
      <c r="C83" t="s">
        <v>3</v>
      </c>
      <c r="D83" t="s">
        <v>21</v>
      </c>
      <c r="E83" t="s">
        <v>4</v>
      </c>
      <c r="F83" t="s">
        <v>36</v>
      </c>
      <c r="G83" t="s">
        <v>36</v>
      </c>
      <c r="H83" t="s">
        <v>7</v>
      </c>
      <c r="I83" t="s">
        <v>15</v>
      </c>
      <c r="J83">
        <v>4</v>
      </c>
      <c r="K83">
        <v>4494</v>
      </c>
      <c r="L83">
        <v>17976</v>
      </c>
      <c r="M83">
        <v>13235.9</v>
      </c>
      <c r="N83">
        <v>4740.1000000000004</v>
      </c>
      <c r="O83" t="str">
        <f>TEXT(Table1[[#This Row],[Order_Date]],"yyy")</f>
        <v>2024</v>
      </c>
    </row>
    <row r="84" spans="1:15" x14ac:dyDescent="0.3">
      <c r="A84" t="s">
        <v>134</v>
      </c>
      <c r="B84" s="1">
        <v>45866</v>
      </c>
      <c r="C84" t="s">
        <v>3</v>
      </c>
      <c r="D84" t="s">
        <v>31</v>
      </c>
      <c r="E84" t="s">
        <v>4</v>
      </c>
      <c r="F84" t="s">
        <v>23</v>
      </c>
      <c r="G84" t="s">
        <v>23</v>
      </c>
      <c r="H84" t="s">
        <v>24</v>
      </c>
      <c r="I84" t="s">
        <v>15</v>
      </c>
      <c r="J84">
        <v>15</v>
      </c>
      <c r="K84">
        <v>3028</v>
      </c>
      <c r="L84">
        <v>45420</v>
      </c>
      <c r="M84">
        <v>30528.31</v>
      </c>
      <c r="N84">
        <v>14891.69</v>
      </c>
      <c r="O84" t="str">
        <f>TEXT(Table1[[#This Row],[Order_Date]],"yyy")</f>
        <v>2025</v>
      </c>
    </row>
    <row r="85" spans="1:15" x14ac:dyDescent="0.3">
      <c r="A85" t="s">
        <v>135</v>
      </c>
      <c r="B85" s="1">
        <v>45597</v>
      </c>
      <c r="C85" t="s">
        <v>10</v>
      </c>
      <c r="D85" t="s">
        <v>31</v>
      </c>
      <c r="E85" t="s">
        <v>11</v>
      </c>
      <c r="F85" t="s">
        <v>6</v>
      </c>
      <c r="G85" t="s">
        <v>6</v>
      </c>
      <c r="H85" t="s">
        <v>7</v>
      </c>
      <c r="I85" t="s">
        <v>8</v>
      </c>
      <c r="J85">
        <v>15</v>
      </c>
      <c r="K85">
        <v>4706</v>
      </c>
      <c r="L85">
        <v>70590</v>
      </c>
      <c r="M85">
        <v>42099.3</v>
      </c>
      <c r="N85">
        <v>28490.7</v>
      </c>
      <c r="O85" t="str">
        <f>TEXT(Table1[[#This Row],[Order_Date]],"yyy")</f>
        <v>2024</v>
      </c>
    </row>
    <row r="86" spans="1:15" x14ac:dyDescent="0.3">
      <c r="A86" t="s">
        <v>136</v>
      </c>
      <c r="B86" s="1">
        <v>45840</v>
      </c>
      <c r="C86" t="s">
        <v>10</v>
      </c>
      <c r="D86" t="s">
        <v>21</v>
      </c>
      <c r="E86" t="s">
        <v>11</v>
      </c>
      <c r="F86" t="s">
        <v>19</v>
      </c>
      <c r="G86" t="s">
        <v>19</v>
      </c>
      <c r="H86" t="s">
        <v>33</v>
      </c>
      <c r="I86" t="s">
        <v>8</v>
      </c>
      <c r="J86">
        <v>10</v>
      </c>
      <c r="K86">
        <v>4061</v>
      </c>
      <c r="L86">
        <v>40610</v>
      </c>
      <c r="M86">
        <v>32372.54</v>
      </c>
      <c r="N86">
        <v>8237.4599999999991</v>
      </c>
      <c r="O86" t="str">
        <f>TEXT(Table1[[#This Row],[Order_Date]],"yyy")</f>
        <v>2025</v>
      </c>
    </row>
    <row r="87" spans="1:15" x14ac:dyDescent="0.3">
      <c r="A87" t="s">
        <v>137</v>
      </c>
      <c r="B87" s="1">
        <v>45340</v>
      </c>
      <c r="C87" t="s">
        <v>3</v>
      </c>
      <c r="D87" t="s">
        <v>9</v>
      </c>
      <c r="E87" t="s">
        <v>4</v>
      </c>
      <c r="F87" t="s">
        <v>23</v>
      </c>
      <c r="G87" t="s">
        <v>23</v>
      </c>
      <c r="H87" t="s">
        <v>14</v>
      </c>
      <c r="I87" t="s">
        <v>8</v>
      </c>
      <c r="J87">
        <v>20</v>
      </c>
      <c r="K87">
        <v>3183</v>
      </c>
      <c r="L87">
        <v>63660</v>
      </c>
      <c r="M87">
        <v>53617.2</v>
      </c>
      <c r="N87">
        <v>10042.799999999999</v>
      </c>
      <c r="O87" t="str">
        <f>TEXT(Table1[[#This Row],[Order_Date]],"yyy")</f>
        <v>2024</v>
      </c>
    </row>
    <row r="88" spans="1:15" x14ac:dyDescent="0.3">
      <c r="A88" t="s">
        <v>138</v>
      </c>
      <c r="B88" s="1">
        <v>45653</v>
      </c>
      <c r="C88" t="s">
        <v>22</v>
      </c>
      <c r="D88" t="s">
        <v>31</v>
      </c>
      <c r="E88" t="s">
        <v>18</v>
      </c>
      <c r="F88" t="s">
        <v>29</v>
      </c>
      <c r="G88" t="s">
        <v>29</v>
      </c>
      <c r="H88" t="s">
        <v>14</v>
      </c>
      <c r="I88" t="s">
        <v>15</v>
      </c>
      <c r="J88">
        <v>20</v>
      </c>
      <c r="K88">
        <v>3940</v>
      </c>
      <c r="L88">
        <v>78800</v>
      </c>
      <c r="M88">
        <v>57351.81</v>
      </c>
      <c r="N88">
        <v>21448.19</v>
      </c>
      <c r="O88" t="str">
        <f>TEXT(Table1[[#This Row],[Order_Date]],"yyy")</f>
        <v>2024</v>
      </c>
    </row>
    <row r="89" spans="1:15" x14ac:dyDescent="0.3">
      <c r="A89" t="s">
        <v>139</v>
      </c>
      <c r="B89" s="1">
        <v>45901</v>
      </c>
      <c r="C89" t="s">
        <v>22</v>
      </c>
      <c r="D89" t="s">
        <v>25</v>
      </c>
      <c r="E89" t="s">
        <v>11</v>
      </c>
      <c r="F89" t="s">
        <v>6</v>
      </c>
      <c r="G89" t="s">
        <v>6</v>
      </c>
      <c r="H89" t="s">
        <v>7</v>
      </c>
      <c r="I89" t="s">
        <v>15</v>
      </c>
      <c r="J89">
        <v>9</v>
      </c>
      <c r="K89">
        <v>3946</v>
      </c>
      <c r="L89">
        <v>35514</v>
      </c>
      <c r="M89">
        <v>20057.34</v>
      </c>
      <c r="N89">
        <v>15456.66</v>
      </c>
      <c r="O89" t="str">
        <f>TEXT(Table1[[#This Row],[Order_Date]],"yyy")</f>
        <v>2025</v>
      </c>
    </row>
    <row r="90" spans="1:15" x14ac:dyDescent="0.3">
      <c r="A90" t="s">
        <v>140</v>
      </c>
      <c r="B90" s="1">
        <v>45645</v>
      </c>
      <c r="C90" t="s">
        <v>17</v>
      </c>
      <c r="D90" t="s">
        <v>25</v>
      </c>
      <c r="E90" t="s">
        <v>11</v>
      </c>
      <c r="F90" t="s">
        <v>13</v>
      </c>
      <c r="G90" t="s">
        <v>13</v>
      </c>
      <c r="H90" t="s">
        <v>35</v>
      </c>
      <c r="I90" t="s">
        <v>15</v>
      </c>
      <c r="J90">
        <v>7</v>
      </c>
      <c r="K90">
        <v>3712</v>
      </c>
      <c r="L90">
        <v>25984</v>
      </c>
      <c r="M90">
        <v>20792.330000000002</v>
      </c>
      <c r="N90">
        <v>5191.67</v>
      </c>
      <c r="O90" t="str">
        <f>TEXT(Table1[[#This Row],[Order_Date]],"yyy")</f>
        <v>2024</v>
      </c>
    </row>
    <row r="91" spans="1:15" x14ac:dyDescent="0.3">
      <c r="A91" t="s">
        <v>141</v>
      </c>
      <c r="B91" s="1">
        <v>45653</v>
      </c>
      <c r="C91" t="s">
        <v>22</v>
      </c>
      <c r="D91" t="s">
        <v>31</v>
      </c>
      <c r="E91" t="s">
        <v>11</v>
      </c>
      <c r="F91" t="s">
        <v>19</v>
      </c>
      <c r="G91" t="s">
        <v>19</v>
      </c>
      <c r="H91" t="s">
        <v>33</v>
      </c>
      <c r="I91" t="s">
        <v>15</v>
      </c>
      <c r="J91">
        <v>16</v>
      </c>
      <c r="K91">
        <v>3119</v>
      </c>
      <c r="L91">
        <v>49904</v>
      </c>
      <c r="M91">
        <v>32266.959999999999</v>
      </c>
      <c r="N91">
        <v>17637.04</v>
      </c>
      <c r="O91" t="str">
        <f>TEXT(Table1[[#This Row],[Order_Date]],"yyy")</f>
        <v>2024</v>
      </c>
    </row>
    <row r="92" spans="1:15" x14ac:dyDescent="0.3">
      <c r="A92" t="s">
        <v>142</v>
      </c>
      <c r="B92" s="1">
        <v>45936</v>
      </c>
      <c r="C92" t="s">
        <v>10</v>
      </c>
      <c r="D92" t="s">
        <v>25</v>
      </c>
      <c r="E92" t="s">
        <v>11</v>
      </c>
      <c r="F92" t="s">
        <v>19</v>
      </c>
      <c r="G92" t="s">
        <v>19</v>
      </c>
      <c r="H92" t="s">
        <v>20</v>
      </c>
      <c r="I92" t="s">
        <v>8</v>
      </c>
      <c r="J92">
        <v>7</v>
      </c>
      <c r="K92">
        <v>2392</v>
      </c>
      <c r="L92">
        <v>16744</v>
      </c>
      <c r="M92">
        <v>12953.3</v>
      </c>
      <c r="N92">
        <v>3790.7</v>
      </c>
      <c r="O92" t="str">
        <f>TEXT(Table1[[#This Row],[Order_Date]],"yyy")</f>
        <v>2025</v>
      </c>
    </row>
    <row r="93" spans="1:15" x14ac:dyDescent="0.3">
      <c r="A93" t="s">
        <v>143</v>
      </c>
      <c r="B93" s="1">
        <v>45371</v>
      </c>
      <c r="C93" t="s">
        <v>17</v>
      </c>
      <c r="D93" t="s">
        <v>21</v>
      </c>
      <c r="E93" t="s">
        <v>18</v>
      </c>
      <c r="F93" t="s">
        <v>26</v>
      </c>
      <c r="G93" t="s">
        <v>26</v>
      </c>
      <c r="H93" t="s">
        <v>33</v>
      </c>
      <c r="I93" t="s">
        <v>15</v>
      </c>
      <c r="J93">
        <v>14</v>
      </c>
      <c r="K93">
        <v>3738</v>
      </c>
      <c r="L93">
        <v>52332</v>
      </c>
      <c r="M93">
        <v>32642.2</v>
      </c>
      <c r="N93">
        <v>19689.8</v>
      </c>
      <c r="O93" t="str">
        <f>TEXT(Table1[[#This Row],[Order_Date]],"yyy")</f>
        <v>2024</v>
      </c>
    </row>
    <row r="94" spans="1:15" x14ac:dyDescent="0.3">
      <c r="A94" t="s">
        <v>144</v>
      </c>
      <c r="B94" s="1">
        <v>45733</v>
      </c>
      <c r="C94" t="s">
        <v>17</v>
      </c>
      <c r="D94" t="s">
        <v>31</v>
      </c>
      <c r="E94" t="s">
        <v>4</v>
      </c>
      <c r="F94" t="s">
        <v>36</v>
      </c>
      <c r="G94" t="s">
        <v>36</v>
      </c>
      <c r="H94" t="s">
        <v>35</v>
      </c>
      <c r="I94" t="s">
        <v>8</v>
      </c>
      <c r="J94">
        <v>2</v>
      </c>
      <c r="K94">
        <v>4236</v>
      </c>
      <c r="L94">
        <v>8472</v>
      </c>
      <c r="M94">
        <v>6722.46</v>
      </c>
      <c r="N94">
        <v>1749.54</v>
      </c>
      <c r="O94" t="str">
        <f>TEXT(Table1[[#This Row],[Order_Date]],"yyy")</f>
        <v>2025</v>
      </c>
    </row>
    <row r="95" spans="1:15" x14ac:dyDescent="0.3">
      <c r="A95" t="s">
        <v>145</v>
      </c>
      <c r="B95" s="1">
        <v>45508</v>
      </c>
      <c r="C95" t="s">
        <v>10</v>
      </c>
      <c r="D95" t="s">
        <v>16</v>
      </c>
      <c r="E95" t="s">
        <v>11</v>
      </c>
      <c r="F95" t="s">
        <v>6</v>
      </c>
      <c r="G95" t="s">
        <v>6</v>
      </c>
      <c r="H95" t="s">
        <v>30</v>
      </c>
      <c r="I95" t="s">
        <v>8</v>
      </c>
      <c r="J95">
        <v>7</v>
      </c>
      <c r="K95">
        <v>3523</v>
      </c>
      <c r="L95">
        <v>24661</v>
      </c>
      <c r="M95">
        <v>18214.98</v>
      </c>
      <c r="N95">
        <v>6446.02</v>
      </c>
      <c r="O95" t="str">
        <f>TEXT(Table1[[#This Row],[Order_Date]],"yyy")</f>
        <v>2024</v>
      </c>
    </row>
    <row r="96" spans="1:15" x14ac:dyDescent="0.3">
      <c r="A96" t="s">
        <v>146</v>
      </c>
      <c r="B96" s="1">
        <v>45768</v>
      </c>
      <c r="C96" t="s">
        <v>3</v>
      </c>
      <c r="D96" t="s">
        <v>21</v>
      </c>
      <c r="E96" t="s">
        <v>4</v>
      </c>
      <c r="F96" t="s">
        <v>36</v>
      </c>
      <c r="G96" t="s">
        <v>36</v>
      </c>
      <c r="H96" t="s">
        <v>35</v>
      </c>
      <c r="I96" t="s">
        <v>15</v>
      </c>
      <c r="J96">
        <v>14</v>
      </c>
      <c r="K96">
        <v>3670</v>
      </c>
      <c r="L96">
        <v>51380</v>
      </c>
      <c r="M96">
        <v>32054.52</v>
      </c>
      <c r="N96">
        <v>19325.48</v>
      </c>
      <c r="O96" t="str">
        <f>TEXT(Table1[[#This Row],[Order_Date]],"yyy")</f>
        <v>2025</v>
      </c>
    </row>
    <row r="97" spans="1:15" x14ac:dyDescent="0.3">
      <c r="A97" t="s">
        <v>147</v>
      </c>
      <c r="B97" s="1">
        <v>45293</v>
      </c>
      <c r="C97" t="s">
        <v>17</v>
      </c>
      <c r="D97" t="s">
        <v>28</v>
      </c>
      <c r="E97" t="s">
        <v>11</v>
      </c>
      <c r="F97" t="s">
        <v>6</v>
      </c>
      <c r="G97" t="s">
        <v>6</v>
      </c>
      <c r="H97" t="s">
        <v>20</v>
      </c>
      <c r="I97" t="s">
        <v>8</v>
      </c>
      <c r="J97">
        <v>4</v>
      </c>
      <c r="K97">
        <v>1761</v>
      </c>
      <c r="L97">
        <v>7044</v>
      </c>
      <c r="M97">
        <v>5056.4799999999996</v>
      </c>
      <c r="N97">
        <v>1987.52</v>
      </c>
      <c r="O97" t="str">
        <f>TEXT(Table1[[#This Row],[Order_Date]],"yyy")</f>
        <v>2024</v>
      </c>
    </row>
    <row r="98" spans="1:15" x14ac:dyDescent="0.3">
      <c r="A98" t="s">
        <v>148</v>
      </c>
      <c r="B98" s="1">
        <v>45942</v>
      </c>
      <c r="C98" t="s">
        <v>17</v>
      </c>
      <c r="D98" t="s">
        <v>31</v>
      </c>
      <c r="E98" t="s">
        <v>18</v>
      </c>
      <c r="F98" t="s">
        <v>29</v>
      </c>
      <c r="G98" t="s">
        <v>29</v>
      </c>
      <c r="H98" t="s">
        <v>30</v>
      </c>
      <c r="I98" t="s">
        <v>8</v>
      </c>
      <c r="J98">
        <v>16</v>
      </c>
      <c r="K98">
        <v>3712</v>
      </c>
      <c r="L98">
        <v>59392</v>
      </c>
      <c r="M98">
        <v>48489.2</v>
      </c>
      <c r="N98">
        <v>10902.8</v>
      </c>
      <c r="O98" t="str">
        <f>TEXT(Table1[[#This Row],[Order_Date]],"yyy")</f>
        <v>2025</v>
      </c>
    </row>
    <row r="99" spans="1:15" x14ac:dyDescent="0.3">
      <c r="A99" t="s">
        <v>149</v>
      </c>
      <c r="B99" s="1">
        <v>45343</v>
      </c>
      <c r="C99" t="s">
        <v>3</v>
      </c>
      <c r="D99" t="s">
        <v>31</v>
      </c>
      <c r="E99" t="s">
        <v>11</v>
      </c>
      <c r="F99" t="s">
        <v>19</v>
      </c>
      <c r="G99" t="s">
        <v>19</v>
      </c>
      <c r="H99" t="s">
        <v>35</v>
      </c>
      <c r="I99" t="s">
        <v>15</v>
      </c>
      <c r="J99">
        <v>20</v>
      </c>
      <c r="K99">
        <v>3361</v>
      </c>
      <c r="L99">
        <v>67220</v>
      </c>
      <c r="M99">
        <v>39482.589999999997</v>
      </c>
      <c r="N99">
        <v>27737.41</v>
      </c>
      <c r="O99" t="str">
        <f>TEXT(Table1[[#This Row],[Order_Date]],"yyy")</f>
        <v>2024</v>
      </c>
    </row>
    <row r="100" spans="1:15" x14ac:dyDescent="0.3">
      <c r="A100" t="s">
        <v>150</v>
      </c>
      <c r="B100" s="1">
        <v>45370</v>
      </c>
      <c r="C100" t="s">
        <v>3</v>
      </c>
      <c r="D100" t="s">
        <v>21</v>
      </c>
      <c r="E100" t="s">
        <v>11</v>
      </c>
      <c r="F100" t="s">
        <v>19</v>
      </c>
      <c r="G100" t="s">
        <v>19</v>
      </c>
      <c r="H100" t="s">
        <v>27</v>
      </c>
      <c r="I100" t="s">
        <v>8</v>
      </c>
      <c r="J100">
        <v>8</v>
      </c>
      <c r="K100">
        <v>287</v>
      </c>
      <c r="L100">
        <v>2296</v>
      </c>
      <c r="M100">
        <v>1536.94</v>
      </c>
      <c r="N100">
        <v>759.06</v>
      </c>
      <c r="O100" t="str">
        <f>TEXT(Table1[[#This Row],[Order_Date]],"yyy")</f>
        <v>2024</v>
      </c>
    </row>
    <row r="101" spans="1:15" x14ac:dyDescent="0.3">
      <c r="A101" t="s">
        <v>151</v>
      </c>
      <c r="B101" s="1">
        <v>45993</v>
      </c>
      <c r="C101" t="s">
        <v>3</v>
      </c>
      <c r="D101" t="s">
        <v>16</v>
      </c>
      <c r="E101" t="s">
        <v>11</v>
      </c>
      <c r="F101" t="s">
        <v>19</v>
      </c>
      <c r="G101" t="s">
        <v>19</v>
      </c>
      <c r="H101" t="s">
        <v>27</v>
      </c>
      <c r="I101" t="s">
        <v>8</v>
      </c>
      <c r="J101">
        <v>5</v>
      </c>
      <c r="K101">
        <v>4553</v>
      </c>
      <c r="L101">
        <v>22765</v>
      </c>
      <c r="M101">
        <v>17584.52</v>
      </c>
      <c r="N101">
        <v>5180.4799999999996</v>
      </c>
      <c r="O101" t="str">
        <f>TEXT(Table1[[#This Row],[Order_Date]],"yyy")</f>
        <v>2025</v>
      </c>
    </row>
    <row r="102" spans="1:15" x14ac:dyDescent="0.3">
      <c r="A102" t="s">
        <v>152</v>
      </c>
      <c r="B102" s="1">
        <v>45914</v>
      </c>
      <c r="C102" t="s">
        <v>17</v>
      </c>
      <c r="D102" t="s">
        <v>16</v>
      </c>
      <c r="E102" t="s">
        <v>18</v>
      </c>
      <c r="F102" t="s">
        <v>29</v>
      </c>
      <c r="G102" t="s">
        <v>29</v>
      </c>
      <c r="H102" t="s">
        <v>14</v>
      </c>
      <c r="I102" t="s">
        <v>15</v>
      </c>
      <c r="J102">
        <v>1</v>
      </c>
      <c r="K102">
        <v>146</v>
      </c>
      <c r="L102">
        <v>146</v>
      </c>
      <c r="M102">
        <v>94.57</v>
      </c>
      <c r="N102">
        <v>51.43</v>
      </c>
      <c r="O102" t="str">
        <f>TEXT(Table1[[#This Row],[Order_Date]],"yyy")</f>
        <v>2025</v>
      </c>
    </row>
    <row r="103" spans="1:15" x14ac:dyDescent="0.3">
      <c r="A103" t="s">
        <v>153</v>
      </c>
      <c r="B103" s="1">
        <v>45782</v>
      </c>
      <c r="C103" t="s">
        <v>3</v>
      </c>
      <c r="D103" t="s">
        <v>21</v>
      </c>
      <c r="E103" t="s">
        <v>18</v>
      </c>
      <c r="F103" t="s">
        <v>26</v>
      </c>
      <c r="G103" t="s">
        <v>26</v>
      </c>
      <c r="H103" t="s">
        <v>24</v>
      </c>
      <c r="I103" t="s">
        <v>15</v>
      </c>
      <c r="J103">
        <v>8</v>
      </c>
      <c r="K103">
        <v>696</v>
      </c>
      <c r="L103">
        <v>5568</v>
      </c>
      <c r="M103">
        <v>4496.68</v>
      </c>
      <c r="N103">
        <v>1071.32</v>
      </c>
      <c r="O103" t="str">
        <f>TEXT(Table1[[#This Row],[Order_Date]],"yyy")</f>
        <v>2025</v>
      </c>
    </row>
    <row r="104" spans="1:15" x14ac:dyDescent="0.3">
      <c r="A104" t="s">
        <v>154</v>
      </c>
      <c r="B104" s="1">
        <v>45985</v>
      </c>
      <c r="C104" t="s">
        <v>10</v>
      </c>
      <c r="D104" t="s">
        <v>9</v>
      </c>
      <c r="E104" t="s">
        <v>4</v>
      </c>
      <c r="F104" t="s">
        <v>36</v>
      </c>
      <c r="G104" t="s">
        <v>36</v>
      </c>
      <c r="H104" t="s">
        <v>27</v>
      </c>
      <c r="I104" t="s">
        <v>8</v>
      </c>
      <c r="J104">
        <v>16</v>
      </c>
      <c r="K104">
        <v>4056</v>
      </c>
      <c r="L104">
        <v>64896</v>
      </c>
      <c r="M104">
        <v>48760.73</v>
      </c>
      <c r="N104">
        <v>16135.27</v>
      </c>
      <c r="O104" t="str">
        <f>TEXT(Table1[[#This Row],[Order_Date]],"yyy")</f>
        <v>2025</v>
      </c>
    </row>
    <row r="105" spans="1:15" x14ac:dyDescent="0.3">
      <c r="A105" t="s">
        <v>155</v>
      </c>
      <c r="B105" s="1">
        <v>45695</v>
      </c>
      <c r="C105" t="s">
        <v>3</v>
      </c>
      <c r="D105" t="s">
        <v>16</v>
      </c>
      <c r="E105" t="s">
        <v>18</v>
      </c>
      <c r="F105" t="s">
        <v>34</v>
      </c>
      <c r="G105" t="s">
        <v>34</v>
      </c>
      <c r="H105" t="s">
        <v>7</v>
      </c>
      <c r="I105" t="s">
        <v>8</v>
      </c>
      <c r="J105">
        <v>17</v>
      </c>
      <c r="K105">
        <v>2432</v>
      </c>
      <c r="L105">
        <v>41344</v>
      </c>
      <c r="M105">
        <v>30070.81</v>
      </c>
      <c r="N105">
        <v>11273.19</v>
      </c>
      <c r="O105" t="str">
        <f>TEXT(Table1[[#This Row],[Order_Date]],"yyy")</f>
        <v>2025</v>
      </c>
    </row>
    <row r="106" spans="1:15" x14ac:dyDescent="0.3">
      <c r="A106" t="s">
        <v>156</v>
      </c>
      <c r="B106" s="1">
        <v>45617</v>
      </c>
      <c r="C106" t="s">
        <v>17</v>
      </c>
      <c r="D106" t="s">
        <v>16</v>
      </c>
      <c r="E106" t="s">
        <v>11</v>
      </c>
      <c r="F106" t="s">
        <v>13</v>
      </c>
      <c r="G106" t="s">
        <v>13</v>
      </c>
      <c r="H106" t="s">
        <v>30</v>
      </c>
      <c r="I106" t="s">
        <v>8</v>
      </c>
      <c r="J106">
        <v>19</v>
      </c>
      <c r="K106">
        <v>3353</v>
      </c>
      <c r="L106">
        <v>63707</v>
      </c>
      <c r="M106">
        <v>42578.48</v>
      </c>
      <c r="N106">
        <v>21128.52</v>
      </c>
      <c r="O106" t="str">
        <f>TEXT(Table1[[#This Row],[Order_Date]],"yyy")</f>
        <v>2024</v>
      </c>
    </row>
    <row r="107" spans="1:15" x14ac:dyDescent="0.3">
      <c r="A107" t="s">
        <v>157</v>
      </c>
      <c r="B107" s="1">
        <v>45607</v>
      </c>
      <c r="C107" t="s">
        <v>10</v>
      </c>
      <c r="D107" t="s">
        <v>16</v>
      </c>
      <c r="E107" t="s">
        <v>4</v>
      </c>
      <c r="F107" t="s">
        <v>32</v>
      </c>
      <c r="G107" t="s">
        <v>32</v>
      </c>
      <c r="H107" t="s">
        <v>24</v>
      </c>
      <c r="I107" t="s">
        <v>8</v>
      </c>
      <c r="J107">
        <v>15</v>
      </c>
      <c r="K107">
        <v>4509</v>
      </c>
      <c r="L107">
        <v>67635</v>
      </c>
      <c r="M107">
        <v>41682.26</v>
      </c>
      <c r="N107">
        <v>25952.74</v>
      </c>
      <c r="O107" t="str">
        <f>TEXT(Table1[[#This Row],[Order_Date]],"yyy")</f>
        <v>2024</v>
      </c>
    </row>
    <row r="108" spans="1:15" x14ac:dyDescent="0.3">
      <c r="A108" t="s">
        <v>158</v>
      </c>
      <c r="B108" s="1">
        <v>45868</v>
      </c>
      <c r="C108" t="s">
        <v>10</v>
      </c>
      <c r="D108" t="s">
        <v>16</v>
      </c>
      <c r="E108" t="s">
        <v>18</v>
      </c>
      <c r="F108" t="s">
        <v>34</v>
      </c>
      <c r="G108" t="s">
        <v>34</v>
      </c>
      <c r="H108" t="s">
        <v>7</v>
      </c>
      <c r="I108" t="s">
        <v>15</v>
      </c>
      <c r="J108">
        <v>5</v>
      </c>
      <c r="K108">
        <v>3332</v>
      </c>
      <c r="L108">
        <v>16660</v>
      </c>
      <c r="M108">
        <v>13809.77</v>
      </c>
      <c r="N108">
        <v>2850.23</v>
      </c>
      <c r="O108" t="str">
        <f>TEXT(Table1[[#This Row],[Order_Date]],"yyy")</f>
        <v>2025</v>
      </c>
    </row>
    <row r="109" spans="1:15" x14ac:dyDescent="0.3">
      <c r="A109" t="s">
        <v>159</v>
      </c>
      <c r="B109" s="1">
        <v>45791</v>
      </c>
      <c r="C109" t="s">
        <v>10</v>
      </c>
      <c r="D109" t="s">
        <v>21</v>
      </c>
      <c r="E109" t="s">
        <v>11</v>
      </c>
      <c r="F109" t="s">
        <v>6</v>
      </c>
      <c r="G109" t="s">
        <v>6</v>
      </c>
      <c r="H109" t="s">
        <v>27</v>
      </c>
      <c r="I109" t="s">
        <v>15</v>
      </c>
      <c r="J109">
        <v>9</v>
      </c>
      <c r="K109">
        <v>1270</v>
      </c>
      <c r="L109">
        <v>11430</v>
      </c>
      <c r="M109">
        <v>7806.13</v>
      </c>
      <c r="N109">
        <v>3623.87</v>
      </c>
      <c r="O109" t="str">
        <f>TEXT(Table1[[#This Row],[Order_Date]],"yyy")</f>
        <v>2025</v>
      </c>
    </row>
    <row r="110" spans="1:15" x14ac:dyDescent="0.3">
      <c r="A110" t="s">
        <v>160</v>
      </c>
      <c r="B110" s="1">
        <v>45557</v>
      </c>
      <c r="C110" t="s">
        <v>3</v>
      </c>
      <c r="D110" t="s">
        <v>21</v>
      </c>
      <c r="E110" t="s">
        <v>11</v>
      </c>
      <c r="F110" t="s">
        <v>19</v>
      </c>
      <c r="G110" t="s">
        <v>19</v>
      </c>
      <c r="H110" t="s">
        <v>33</v>
      </c>
      <c r="I110" t="s">
        <v>8</v>
      </c>
      <c r="J110">
        <v>11</v>
      </c>
      <c r="K110">
        <v>401</v>
      </c>
      <c r="L110">
        <v>4411</v>
      </c>
      <c r="M110">
        <v>3276.09</v>
      </c>
      <c r="N110">
        <v>1134.9100000000001</v>
      </c>
      <c r="O110" t="str">
        <f>TEXT(Table1[[#This Row],[Order_Date]],"yyy")</f>
        <v>2024</v>
      </c>
    </row>
    <row r="111" spans="1:15" x14ac:dyDescent="0.3">
      <c r="A111" t="s">
        <v>161</v>
      </c>
      <c r="B111" s="1">
        <v>45880</v>
      </c>
      <c r="C111" t="s">
        <v>10</v>
      </c>
      <c r="D111" t="s">
        <v>16</v>
      </c>
      <c r="E111" t="s">
        <v>4</v>
      </c>
      <c r="F111" t="s">
        <v>32</v>
      </c>
      <c r="G111" t="s">
        <v>32</v>
      </c>
      <c r="H111" t="s">
        <v>35</v>
      </c>
      <c r="I111" t="s">
        <v>15</v>
      </c>
      <c r="J111">
        <v>12</v>
      </c>
      <c r="K111">
        <v>2087</v>
      </c>
      <c r="L111">
        <v>25044</v>
      </c>
      <c r="M111">
        <v>19573.73</v>
      </c>
      <c r="N111">
        <v>5470.27</v>
      </c>
      <c r="O111" t="str">
        <f>TEXT(Table1[[#This Row],[Order_Date]],"yyy")</f>
        <v>2025</v>
      </c>
    </row>
    <row r="112" spans="1:15" x14ac:dyDescent="0.3">
      <c r="A112" t="s">
        <v>162</v>
      </c>
      <c r="B112" s="1">
        <v>45974</v>
      </c>
      <c r="C112" t="s">
        <v>22</v>
      </c>
      <c r="D112" t="s">
        <v>31</v>
      </c>
      <c r="E112" t="s">
        <v>18</v>
      </c>
      <c r="F112" t="s">
        <v>26</v>
      </c>
      <c r="G112" t="s">
        <v>26</v>
      </c>
      <c r="H112" t="s">
        <v>20</v>
      </c>
      <c r="I112" t="s">
        <v>15</v>
      </c>
      <c r="J112">
        <v>7</v>
      </c>
      <c r="K112">
        <v>3871</v>
      </c>
      <c r="L112">
        <v>27097</v>
      </c>
      <c r="M112">
        <v>18799.79</v>
      </c>
      <c r="N112">
        <v>8297.2099999999991</v>
      </c>
      <c r="O112" t="str">
        <f>TEXT(Table1[[#This Row],[Order_Date]],"yyy")</f>
        <v>2025</v>
      </c>
    </row>
    <row r="113" spans="1:15" x14ac:dyDescent="0.3">
      <c r="A113" t="s">
        <v>163</v>
      </c>
      <c r="B113" s="1">
        <v>45697</v>
      </c>
      <c r="C113" t="s">
        <v>3</v>
      </c>
      <c r="D113" t="s">
        <v>31</v>
      </c>
      <c r="E113" t="s">
        <v>4</v>
      </c>
      <c r="F113" t="s">
        <v>36</v>
      </c>
      <c r="G113" t="s">
        <v>36</v>
      </c>
      <c r="H113" t="s">
        <v>33</v>
      </c>
      <c r="I113" t="s">
        <v>15</v>
      </c>
      <c r="J113">
        <v>6</v>
      </c>
      <c r="K113">
        <v>2057</v>
      </c>
      <c r="L113">
        <v>12342</v>
      </c>
      <c r="M113">
        <v>10089.5</v>
      </c>
      <c r="N113">
        <v>2252.5</v>
      </c>
      <c r="O113" t="str">
        <f>TEXT(Table1[[#This Row],[Order_Date]],"yyy")</f>
        <v>2025</v>
      </c>
    </row>
    <row r="114" spans="1:15" x14ac:dyDescent="0.3">
      <c r="A114" t="s">
        <v>164</v>
      </c>
      <c r="B114" s="1">
        <v>45686</v>
      </c>
      <c r="C114" t="s">
        <v>22</v>
      </c>
      <c r="D114" t="s">
        <v>9</v>
      </c>
      <c r="E114" t="s">
        <v>11</v>
      </c>
      <c r="F114" t="s">
        <v>6</v>
      </c>
      <c r="G114" t="s">
        <v>6</v>
      </c>
      <c r="H114" t="s">
        <v>35</v>
      </c>
      <c r="I114" t="s">
        <v>15</v>
      </c>
      <c r="J114">
        <v>13</v>
      </c>
      <c r="K114">
        <v>4438</v>
      </c>
      <c r="L114">
        <v>57694</v>
      </c>
      <c r="M114">
        <v>35791.800000000003</v>
      </c>
      <c r="N114">
        <v>21902.2</v>
      </c>
      <c r="O114" t="str">
        <f>TEXT(Table1[[#This Row],[Order_Date]],"yyy")</f>
        <v>2025</v>
      </c>
    </row>
    <row r="115" spans="1:15" x14ac:dyDescent="0.3">
      <c r="A115" t="s">
        <v>165</v>
      </c>
      <c r="B115" s="1">
        <v>45467</v>
      </c>
      <c r="C115" t="s">
        <v>17</v>
      </c>
      <c r="D115" t="s">
        <v>25</v>
      </c>
      <c r="E115" t="s">
        <v>4</v>
      </c>
      <c r="F115" t="s">
        <v>23</v>
      </c>
      <c r="G115" t="s">
        <v>23</v>
      </c>
      <c r="H115" t="s">
        <v>35</v>
      </c>
      <c r="I115" t="s">
        <v>8</v>
      </c>
      <c r="J115">
        <v>20</v>
      </c>
      <c r="K115">
        <v>2534</v>
      </c>
      <c r="L115">
        <v>50680</v>
      </c>
      <c r="M115">
        <v>42501.05</v>
      </c>
      <c r="N115">
        <v>8178.95</v>
      </c>
      <c r="O115" t="str">
        <f>TEXT(Table1[[#This Row],[Order_Date]],"yyy")</f>
        <v>2024</v>
      </c>
    </row>
    <row r="116" spans="1:15" x14ac:dyDescent="0.3">
      <c r="A116" t="s">
        <v>166</v>
      </c>
      <c r="B116" s="1">
        <v>45834</v>
      </c>
      <c r="C116" t="s">
        <v>17</v>
      </c>
      <c r="D116" t="s">
        <v>21</v>
      </c>
      <c r="E116" t="s">
        <v>4</v>
      </c>
      <c r="F116" t="s">
        <v>32</v>
      </c>
      <c r="G116" t="s">
        <v>32</v>
      </c>
      <c r="H116" t="s">
        <v>35</v>
      </c>
      <c r="I116" t="s">
        <v>8</v>
      </c>
      <c r="J116">
        <v>12</v>
      </c>
      <c r="K116">
        <v>908</v>
      </c>
      <c r="L116">
        <v>10896</v>
      </c>
      <c r="M116">
        <v>6440.27</v>
      </c>
      <c r="N116">
        <v>4455.7299999999996</v>
      </c>
      <c r="O116" t="str">
        <f>TEXT(Table1[[#This Row],[Order_Date]],"yyy")</f>
        <v>2025</v>
      </c>
    </row>
    <row r="117" spans="1:15" x14ac:dyDescent="0.3">
      <c r="A117" t="s">
        <v>167</v>
      </c>
      <c r="B117" s="1">
        <v>45530</v>
      </c>
      <c r="C117" t="s">
        <v>17</v>
      </c>
      <c r="D117" t="s">
        <v>16</v>
      </c>
      <c r="E117" t="s">
        <v>11</v>
      </c>
      <c r="F117" t="s">
        <v>6</v>
      </c>
      <c r="G117" t="s">
        <v>6</v>
      </c>
      <c r="H117" t="s">
        <v>14</v>
      </c>
      <c r="I117" t="s">
        <v>15</v>
      </c>
      <c r="J117">
        <v>8</v>
      </c>
      <c r="K117">
        <v>2918</v>
      </c>
      <c r="L117">
        <v>23344</v>
      </c>
      <c r="M117">
        <v>17067.189999999999</v>
      </c>
      <c r="N117">
        <v>6276.81</v>
      </c>
      <c r="O117" t="str">
        <f>TEXT(Table1[[#This Row],[Order_Date]],"yyy")</f>
        <v>2024</v>
      </c>
    </row>
    <row r="118" spans="1:15" x14ac:dyDescent="0.3">
      <c r="A118" t="s">
        <v>168</v>
      </c>
      <c r="B118" s="1">
        <v>45596</v>
      </c>
      <c r="C118" t="s">
        <v>22</v>
      </c>
      <c r="D118" t="s">
        <v>9</v>
      </c>
      <c r="E118" t="s">
        <v>4</v>
      </c>
      <c r="F118" t="s">
        <v>36</v>
      </c>
      <c r="G118" t="s">
        <v>36</v>
      </c>
      <c r="H118" t="s">
        <v>27</v>
      </c>
      <c r="I118" t="s">
        <v>8</v>
      </c>
      <c r="J118">
        <v>16</v>
      </c>
      <c r="K118">
        <v>4600</v>
      </c>
      <c r="L118">
        <v>73600</v>
      </c>
      <c r="M118">
        <v>47649.18</v>
      </c>
      <c r="N118">
        <v>25950.82</v>
      </c>
      <c r="O118" t="str">
        <f>TEXT(Table1[[#This Row],[Order_Date]],"yyy")</f>
        <v>2024</v>
      </c>
    </row>
    <row r="119" spans="1:15" x14ac:dyDescent="0.3">
      <c r="A119" t="s">
        <v>169</v>
      </c>
      <c r="B119" s="1">
        <v>45642</v>
      </c>
      <c r="C119" t="s">
        <v>10</v>
      </c>
      <c r="D119" t="s">
        <v>31</v>
      </c>
      <c r="E119" t="s">
        <v>18</v>
      </c>
      <c r="F119" t="s">
        <v>34</v>
      </c>
      <c r="G119" t="s">
        <v>34</v>
      </c>
      <c r="H119" t="s">
        <v>27</v>
      </c>
      <c r="I119" t="s">
        <v>15</v>
      </c>
      <c r="J119">
        <v>14</v>
      </c>
      <c r="K119">
        <v>4988</v>
      </c>
      <c r="L119">
        <v>69832</v>
      </c>
      <c r="M119">
        <v>56777.599999999999</v>
      </c>
      <c r="N119">
        <v>13054.4</v>
      </c>
      <c r="O119" t="str">
        <f>TEXT(Table1[[#This Row],[Order_Date]],"yyy")</f>
        <v>2024</v>
      </c>
    </row>
    <row r="120" spans="1:15" x14ac:dyDescent="0.3">
      <c r="A120" t="s">
        <v>170</v>
      </c>
      <c r="B120" s="1">
        <v>45413</v>
      </c>
      <c r="C120" t="s">
        <v>17</v>
      </c>
      <c r="D120" t="s">
        <v>16</v>
      </c>
      <c r="E120" t="s">
        <v>4</v>
      </c>
      <c r="F120" t="s">
        <v>23</v>
      </c>
      <c r="G120" t="s">
        <v>23</v>
      </c>
      <c r="H120" t="s">
        <v>33</v>
      </c>
      <c r="I120" t="s">
        <v>8</v>
      </c>
      <c r="J120">
        <v>15</v>
      </c>
      <c r="K120">
        <v>1637</v>
      </c>
      <c r="L120">
        <v>24555</v>
      </c>
      <c r="M120">
        <v>20342.009999999998</v>
      </c>
      <c r="N120">
        <v>4212.99</v>
      </c>
      <c r="O120" t="str">
        <f>TEXT(Table1[[#This Row],[Order_Date]],"yyy")</f>
        <v>2024</v>
      </c>
    </row>
    <row r="121" spans="1:15" x14ac:dyDescent="0.3">
      <c r="A121" t="s">
        <v>171</v>
      </c>
      <c r="B121" s="1">
        <v>45332</v>
      </c>
      <c r="C121" t="s">
        <v>3</v>
      </c>
      <c r="D121" t="s">
        <v>31</v>
      </c>
      <c r="E121" t="s">
        <v>4</v>
      </c>
      <c r="F121" t="s">
        <v>32</v>
      </c>
      <c r="G121" t="s">
        <v>32</v>
      </c>
      <c r="H121" t="s">
        <v>24</v>
      </c>
      <c r="I121" t="s">
        <v>8</v>
      </c>
      <c r="J121">
        <v>7</v>
      </c>
      <c r="K121">
        <v>1432</v>
      </c>
      <c r="L121">
        <v>10024</v>
      </c>
      <c r="M121">
        <v>8345.73</v>
      </c>
      <c r="N121">
        <v>1678.27</v>
      </c>
      <c r="O121" t="str">
        <f>TEXT(Table1[[#This Row],[Order_Date]],"yyy")</f>
        <v>2024</v>
      </c>
    </row>
    <row r="122" spans="1:15" x14ac:dyDescent="0.3">
      <c r="A122" t="s">
        <v>172</v>
      </c>
      <c r="B122" s="1">
        <v>45569</v>
      </c>
      <c r="C122" t="s">
        <v>10</v>
      </c>
      <c r="D122" t="s">
        <v>9</v>
      </c>
      <c r="E122" t="s">
        <v>4</v>
      </c>
      <c r="F122" t="s">
        <v>23</v>
      </c>
      <c r="G122" t="s">
        <v>23</v>
      </c>
      <c r="H122" t="s">
        <v>27</v>
      </c>
      <c r="I122" t="s">
        <v>15</v>
      </c>
      <c r="J122">
        <v>4</v>
      </c>
      <c r="K122">
        <v>2952</v>
      </c>
      <c r="L122">
        <v>11808</v>
      </c>
      <c r="M122">
        <v>7403.8</v>
      </c>
      <c r="N122">
        <v>4404.2</v>
      </c>
      <c r="O122" t="str">
        <f>TEXT(Table1[[#This Row],[Order_Date]],"yyy")</f>
        <v>2024</v>
      </c>
    </row>
    <row r="123" spans="1:15" x14ac:dyDescent="0.3">
      <c r="A123" t="s">
        <v>173</v>
      </c>
      <c r="B123" s="1">
        <v>45418</v>
      </c>
      <c r="C123" t="s">
        <v>22</v>
      </c>
      <c r="D123" t="s">
        <v>28</v>
      </c>
      <c r="E123" t="s">
        <v>18</v>
      </c>
      <c r="F123" t="s">
        <v>26</v>
      </c>
      <c r="G123" t="s">
        <v>26</v>
      </c>
      <c r="H123" t="s">
        <v>30</v>
      </c>
      <c r="I123" t="s">
        <v>8</v>
      </c>
      <c r="J123">
        <v>5</v>
      </c>
      <c r="K123">
        <v>2172</v>
      </c>
      <c r="L123">
        <v>10860</v>
      </c>
      <c r="M123">
        <v>6326.13</v>
      </c>
      <c r="N123">
        <v>4533.87</v>
      </c>
      <c r="O123" t="str">
        <f>TEXT(Table1[[#This Row],[Order_Date]],"yyy")</f>
        <v>2024</v>
      </c>
    </row>
    <row r="124" spans="1:15" x14ac:dyDescent="0.3">
      <c r="A124" t="s">
        <v>174</v>
      </c>
      <c r="B124" s="1">
        <v>45784</v>
      </c>
      <c r="C124" t="s">
        <v>10</v>
      </c>
      <c r="D124" t="s">
        <v>16</v>
      </c>
      <c r="E124" t="s">
        <v>18</v>
      </c>
      <c r="F124" t="s">
        <v>26</v>
      </c>
      <c r="G124" t="s">
        <v>26</v>
      </c>
      <c r="H124" t="s">
        <v>14</v>
      </c>
      <c r="I124" t="s">
        <v>8</v>
      </c>
      <c r="J124">
        <v>16</v>
      </c>
      <c r="K124">
        <v>3285</v>
      </c>
      <c r="L124">
        <v>52560</v>
      </c>
      <c r="M124">
        <v>34575.379999999997</v>
      </c>
      <c r="N124">
        <v>17984.62</v>
      </c>
      <c r="O124" t="str">
        <f>TEXT(Table1[[#This Row],[Order_Date]],"yyy")</f>
        <v>2025</v>
      </c>
    </row>
    <row r="125" spans="1:15" x14ac:dyDescent="0.3">
      <c r="A125" t="s">
        <v>175</v>
      </c>
      <c r="B125" s="1">
        <v>45965</v>
      </c>
      <c r="C125" t="s">
        <v>3</v>
      </c>
      <c r="D125" t="s">
        <v>25</v>
      </c>
      <c r="E125" t="s">
        <v>11</v>
      </c>
      <c r="F125" t="s">
        <v>19</v>
      </c>
      <c r="G125" t="s">
        <v>19</v>
      </c>
      <c r="H125" t="s">
        <v>20</v>
      </c>
      <c r="I125" t="s">
        <v>8</v>
      </c>
      <c r="J125">
        <v>5</v>
      </c>
      <c r="K125">
        <v>3241</v>
      </c>
      <c r="L125">
        <v>16205</v>
      </c>
      <c r="M125">
        <v>9845.34</v>
      </c>
      <c r="N125">
        <v>6359.66</v>
      </c>
      <c r="O125" t="str">
        <f>TEXT(Table1[[#This Row],[Order_Date]],"yyy")</f>
        <v>2025</v>
      </c>
    </row>
    <row r="126" spans="1:15" x14ac:dyDescent="0.3">
      <c r="A126" t="s">
        <v>176</v>
      </c>
      <c r="B126" s="1">
        <v>45679</v>
      </c>
      <c r="C126" t="s">
        <v>17</v>
      </c>
      <c r="D126" t="s">
        <v>25</v>
      </c>
      <c r="E126" t="s">
        <v>18</v>
      </c>
      <c r="F126" t="s">
        <v>34</v>
      </c>
      <c r="G126" t="s">
        <v>34</v>
      </c>
      <c r="H126" t="s">
        <v>33</v>
      </c>
      <c r="I126" t="s">
        <v>15</v>
      </c>
      <c r="J126">
        <v>17</v>
      </c>
      <c r="K126">
        <v>2342</v>
      </c>
      <c r="L126">
        <v>39814</v>
      </c>
      <c r="M126">
        <v>25540.85</v>
      </c>
      <c r="N126">
        <v>14273.15</v>
      </c>
      <c r="O126" t="str">
        <f>TEXT(Table1[[#This Row],[Order_Date]],"yyy")</f>
        <v>2025</v>
      </c>
    </row>
    <row r="127" spans="1:15" x14ac:dyDescent="0.3">
      <c r="A127" t="s">
        <v>177</v>
      </c>
      <c r="B127" s="1">
        <v>45310</v>
      </c>
      <c r="C127" t="s">
        <v>3</v>
      </c>
      <c r="D127" t="s">
        <v>31</v>
      </c>
      <c r="E127" t="s">
        <v>11</v>
      </c>
      <c r="F127" t="s">
        <v>19</v>
      </c>
      <c r="G127" t="s">
        <v>19</v>
      </c>
      <c r="H127" t="s">
        <v>24</v>
      </c>
      <c r="I127" t="s">
        <v>15</v>
      </c>
      <c r="J127">
        <v>2</v>
      </c>
      <c r="K127">
        <v>3026</v>
      </c>
      <c r="L127">
        <v>6052</v>
      </c>
      <c r="M127">
        <v>4596.8999999999996</v>
      </c>
      <c r="N127">
        <v>1455.1</v>
      </c>
      <c r="O127" t="str">
        <f>TEXT(Table1[[#This Row],[Order_Date]],"yyy")</f>
        <v>2024</v>
      </c>
    </row>
    <row r="128" spans="1:15" x14ac:dyDescent="0.3">
      <c r="A128" t="s">
        <v>178</v>
      </c>
      <c r="B128" s="1">
        <v>45381</v>
      </c>
      <c r="C128" t="s">
        <v>3</v>
      </c>
      <c r="D128" t="s">
        <v>25</v>
      </c>
      <c r="E128" t="s">
        <v>4</v>
      </c>
      <c r="F128" t="s">
        <v>32</v>
      </c>
      <c r="G128" t="s">
        <v>32</v>
      </c>
      <c r="H128" t="s">
        <v>7</v>
      </c>
      <c r="I128" t="s">
        <v>15</v>
      </c>
      <c r="J128">
        <v>15</v>
      </c>
      <c r="K128">
        <v>1960</v>
      </c>
      <c r="L128">
        <v>29400</v>
      </c>
      <c r="M128">
        <v>24176.13</v>
      </c>
      <c r="N128">
        <v>5223.87</v>
      </c>
      <c r="O128" t="str">
        <f>TEXT(Table1[[#This Row],[Order_Date]],"yyy")</f>
        <v>2024</v>
      </c>
    </row>
    <row r="129" spans="1:15" x14ac:dyDescent="0.3">
      <c r="A129" t="s">
        <v>179</v>
      </c>
      <c r="B129" s="1">
        <v>45861</v>
      </c>
      <c r="C129" t="s">
        <v>22</v>
      </c>
      <c r="D129" t="s">
        <v>25</v>
      </c>
      <c r="E129" t="s">
        <v>11</v>
      </c>
      <c r="F129" t="s">
        <v>19</v>
      </c>
      <c r="G129" t="s">
        <v>19</v>
      </c>
      <c r="H129" t="s">
        <v>24</v>
      </c>
      <c r="I129" t="s">
        <v>15</v>
      </c>
      <c r="J129">
        <v>13</v>
      </c>
      <c r="K129">
        <v>972</v>
      </c>
      <c r="L129">
        <v>12636</v>
      </c>
      <c r="M129">
        <v>10474.790000000001</v>
      </c>
      <c r="N129">
        <v>2161.21</v>
      </c>
      <c r="O129" t="str">
        <f>TEXT(Table1[[#This Row],[Order_Date]],"yyy")</f>
        <v>2025</v>
      </c>
    </row>
    <row r="130" spans="1:15" x14ac:dyDescent="0.3">
      <c r="A130" t="s">
        <v>180</v>
      </c>
      <c r="B130" s="1">
        <v>45367</v>
      </c>
      <c r="C130" t="s">
        <v>22</v>
      </c>
      <c r="D130" t="s">
        <v>16</v>
      </c>
      <c r="E130" t="s">
        <v>4</v>
      </c>
      <c r="F130" t="s">
        <v>32</v>
      </c>
      <c r="G130" t="s">
        <v>32</v>
      </c>
      <c r="H130" t="s">
        <v>30</v>
      </c>
      <c r="I130" t="s">
        <v>15</v>
      </c>
      <c r="J130">
        <v>9</v>
      </c>
      <c r="K130">
        <v>2259</v>
      </c>
      <c r="L130">
        <v>20331</v>
      </c>
      <c r="M130">
        <v>14741.86</v>
      </c>
      <c r="N130">
        <v>5589.14</v>
      </c>
      <c r="O130" t="str">
        <f>TEXT(Table1[[#This Row],[Order_Date]],"yyy")</f>
        <v>2024</v>
      </c>
    </row>
    <row r="131" spans="1:15" x14ac:dyDescent="0.3">
      <c r="A131" t="s">
        <v>181</v>
      </c>
      <c r="B131" s="1">
        <v>45419</v>
      </c>
      <c r="C131" t="s">
        <v>17</v>
      </c>
      <c r="D131" t="s">
        <v>31</v>
      </c>
      <c r="E131" t="s">
        <v>11</v>
      </c>
      <c r="F131" t="s">
        <v>19</v>
      </c>
      <c r="G131" t="s">
        <v>19</v>
      </c>
      <c r="H131" t="s">
        <v>24</v>
      </c>
      <c r="I131" t="s">
        <v>8</v>
      </c>
      <c r="J131">
        <v>1</v>
      </c>
      <c r="K131">
        <v>898</v>
      </c>
      <c r="L131">
        <v>898</v>
      </c>
      <c r="M131">
        <v>576.22</v>
      </c>
      <c r="N131">
        <v>321.77999999999997</v>
      </c>
      <c r="O131" t="str">
        <f>TEXT(Table1[[#This Row],[Order_Date]],"yyy")</f>
        <v>2024</v>
      </c>
    </row>
    <row r="132" spans="1:15" x14ac:dyDescent="0.3">
      <c r="A132" t="s">
        <v>182</v>
      </c>
      <c r="B132" s="1">
        <v>45960</v>
      </c>
      <c r="C132" t="s">
        <v>17</v>
      </c>
      <c r="D132" t="s">
        <v>25</v>
      </c>
      <c r="E132" t="s">
        <v>11</v>
      </c>
      <c r="F132" t="s">
        <v>19</v>
      </c>
      <c r="G132" t="s">
        <v>19</v>
      </c>
      <c r="H132" t="s">
        <v>24</v>
      </c>
      <c r="I132" t="s">
        <v>15</v>
      </c>
      <c r="J132">
        <v>7</v>
      </c>
      <c r="K132">
        <v>960</v>
      </c>
      <c r="L132">
        <v>6720</v>
      </c>
      <c r="M132">
        <v>4064.35</v>
      </c>
      <c r="N132">
        <v>2655.65</v>
      </c>
      <c r="O132" t="str">
        <f>TEXT(Table1[[#This Row],[Order_Date]],"yyy")</f>
        <v>2025</v>
      </c>
    </row>
    <row r="133" spans="1:15" x14ac:dyDescent="0.3">
      <c r="A133" t="s">
        <v>183</v>
      </c>
      <c r="B133" s="1">
        <v>45368</v>
      </c>
      <c r="C133" t="s">
        <v>10</v>
      </c>
      <c r="D133" t="s">
        <v>16</v>
      </c>
      <c r="E133" t="s">
        <v>11</v>
      </c>
      <c r="F133" t="s">
        <v>6</v>
      </c>
      <c r="G133" t="s">
        <v>6</v>
      </c>
      <c r="H133" t="s">
        <v>33</v>
      </c>
      <c r="I133" t="s">
        <v>15</v>
      </c>
      <c r="J133">
        <v>18</v>
      </c>
      <c r="K133">
        <v>4938</v>
      </c>
      <c r="L133">
        <v>88884</v>
      </c>
      <c r="M133">
        <v>65509.18</v>
      </c>
      <c r="N133">
        <v>23374.82</v>
      </c>
      <c r="O133" t="str">
        <f>TEXT(Table1[[#This Row],[Order_Date]],"yyy")</f>
        <v>2024</v>
      </c>
    </row>
    <row r="134" spans="1:15" x14ac:dyDescent="0.3">
      <c r="A134" t="s">
        <v>184</v>
      </c>
      <c r="B134" s="1">
        <v>45320</v>
      </c>
      <c r="C134" t="s">
        <v>3</v>
      </c>
      <c r="D134" t="s">
        <v>28</v>
      </c>
      <c r="E134" t="s">
        <v>4</v>
      </c>
      <c r="F134" t="s">
        <v>23</v>
      </c>
      <c r="G134" t="s">
        <v>23</v>
      </c>
      <c r="H134" t="s">
        <v>27</v>
      </c>
      <c r="I134" t="s">
        <v>15</v>
      </c>
      <c r="J134">
        <v>9</v>
      </c>
      <c r="K134">
        <v>2620</v>
      </c>
      <c r="L134">
        <v>23580</v>
      </c>
      <c r="M134">
        <v>17057.169999999998</v>
      </c>
      <c r="N134">
        <v>6522.83</v>
      </c>
      <c r="O134" t="str">
        <f>TEXT(Table1[[#This Row],[Order_Date]],"yyy")</f>
        <v>2024</v>
      </c>
    </row>
    <row r="135" spans="1:15" x14ac:dyDescent="0.3">
      <c r="A135" t="s">
        <v>185</v>
      </c>
      <c r="B135" s="1">
        <v>45882</v>
      </c>
      <c r="C135" t="s">
        <v>10</v>
      </c>
      <c r="D135" t="s">
        <v>28</v>
      </c>
      <c r="E135" t="s">
        <v>4</v>
      </c>
      <c r="F135" t="s">
        <v>23</v>
      </c>
      <c r="G135" t="s">
        <v>23</v>
      </c>
      <c r="H135" t="s">
        <v>24</v>
      </c>
      <c r="I135" t="s">
        <v>8</v>
      </c>
      <c r="J135">
        <v>10</v>
      </c>
      <c r="K135">
        <v>3088</v>
      </c>
      <c r="L135">
        <v>30880</v>
      </c>
      <c r="M135">
        <v>20261.13</v>
      </c>
      <c r="N135">
        <v>10618.87</v>
      </c>
      <c r="O135" t="str">
        <f>TEXT(Table1[[#This Row],[Order_Date]],"yyy")</f>
        <v>2025</v>
      </c>
    </row>
    <row r="136" spans="1:15" x14ac:dyDescent="0.3">
      <c r="A136" t="s">
        <v>186</v>
      </c>
      <c r="B136" s="1">
        <v>45793</v>
      </c>
      <c r="C136" t="s">
        <v>22</v>
      </c>
      <c r="D136" t="s">
        <v>21</v>
      </c>
      <c r="E136" t="s">
        <v>18</v>
      </c>
      <c r="F136" t="s">
        <v>26</v>
      </c>
      <c r="G136" t="s">
        <v>26</v>
      </c>
      <c r="H136" t="s">
        <v>30</v>
      </c>
      <c r="I136" t="s">
        <v>15</v>
      </c>
      <c r="J136">
        <v>14</v>
      </c>
      <c r="K136">
        <v>458</v>
      </c>
      <c r="L136">
        <v>6412</v>
      </c>
      <c r="M136">
        <v>3581.07</v>
      </c>
      <c r="N136">
        <v>2830.93</v>
      </c>
      <c r="O136" t="str">
        <f>TEXT(Table1[[#This Row],[Order_Date]],"yyy")</f>
        <v>2025</v>
      </c>
    </row>
    <row r="137" spans="1:15" x14ac:dyDescent="0.3">
      <c r="A137" t="s">
        <v>187</v>
      </c>
      <c r="B137" s="1">
        <v>45350</v>
      </c>
      <c r="C137" t="s">
        <v>17</v>
      </c>
      <c r="D137" t="s">
        <v>31</v>
      </c>
      <c r="E137" t="s">
        <v>4</v>
      </c>
      <c r="F137" t="s">
        <v>32</v>
      </c>
      <c r="G137" t="s">
        <v>32</v>
      </c>
      <c r="H137" t="s">
        <v>33</v>
      </c>
      <c r="I137" t="s">
        <v>8</v>
      </c>
      <c r="J137">
        <v>11</v>
      </c>
      <c r="K137">
        <v>3880</v>
      </c>
      <c r="L137">
        <v>42680</v>
      </c>
      <c r="M137">
        <v>31672.560000000001</v>
      </c>
      <c r="N137">
        <v>11007.44</v>
      </c>
      <c r="O137" t="str">
        <f>TEXT(Table1[[#This Row],[Order_Date]],"yyy")</f>
        <v>2024</v>
      </c>
    </row>
    <row r="138" spans="1:15" x14ac:dyDescent="0.3">
      <c r="A138" t="s">
        <v>188</v>
      </c>
      <c r="B138" s="1">
        <v>45338</v>
      </c>
      <c r="C138" t="s">
        <v>22</v>
      </c>
      <c r="D138" t="s">
        <v>16</v>
      </c>
      <c r="E138" t="s">
        <v>11</v>
      </c>
      <c r="F138" t="s">
        <v>19</v>
      </c>
      <c r="G138" t="s">
        <v>19</v>
      </c>
      <c r="H138" t="s">
        <v>33</v>
      </c>
      <c r="I138" t="s">
        <v>15</v>
      </c>
      <c r="J138">
        <v>17</v>
      </c>
      <c r="K138">
        <v>4770</v>
      </c>
      <c r="L138">
        <v>81090</v>
      </c>
      <c r="M138">
        <v>64471.92</v>
      </c>
      <c r="N138">
        <v>16618.080000000002</v>
      </c>
      <c r="O138" t="str">
        <f>TEXT(Table1[[#This Row],[Order_Date]],"yyy")</f>
        <v>2024</v>
      </c>
    </row>
    <row r="139" spans="1:15" x14ac:dyDescent="0.3">
      <c r="A139" t="s">
        <v>189</v>
      </c>
      <c r="B139" s="1">
        <v>45321</v>
      </c>
      <c r="C139" t="s">
        <v>3</v>
      </c>
      <c r="D139" t="s">
        <v>16</v>
      </c>
      <c r="E139" t="s">
        <v>4</v>
      </c>
      <c r="F139" t="s">
        <v>36</v>
      </c>
      <c r="G139" t="s">
        <v>36</v>
      </c>
      <c r="H139" t="s">
        <v>27</v>
      </c>
      <c r="I139" t="s">
        <v>8</v>
      </c>
      <c r="J139">
        <v>15</v>
      </c>
      <c r="K139">
        <v>3021</v>
      </c>
      <c r="L139">
        <v>45315</v>
      </c>
      <c r="M139">
        <v>26650</v>
      </c>
      <c r="N139">
        <v>18665</v>
      </c>
      <c r="O139" t="str">
        <f>TEXT(Table1[[#This Row],[Order_Date]],"yyy")</f>
        <v>2024</v>
      </c>
    </row>
    <row r="140" spans="1:15" x14ac:dyDescent="0.3">
      <c r="A140" t="s">
        <v>190</v>
      </c>
      <c r="B140" s="1">
        <v>45941</v>
      </c>
      <c r="C140" t="s">
        <v>22</v>
      </c>
      <c r="D140" t="s">
        <v>21</v>
      </c>
      <c r="E140" t="s">
        <v>4</v>
      </c>
      <c r="F140" t="s">
        <v>36</v>
      </c>
      <c r="G140" t="s">
        <v>36</v>
      </c>
      <c r="H140" t="s">
        <v>14</v>
      </c>
      <c r="I140" t="s">
        <v>8</v>
      </c>
      <c r="J140">
        <v>9</v>
      </c>
      <c r="K140">
        <v>2891</v>
      </c>
      <c r="L140">
        <v>26019</v>
      </c>
      <c r="M140">
        <v>18259.759999999998</v>
      </c>
      <c r="N140">
        <v>7759.24</v>
      </c>
      <c r="O140" t="str">
        <f>TEXT(Table1[[#This Row],[Order_Date]],"yyy")</f>
        <v>2025</v>
      </c>
    </row>
    <row r="141" spans="1:15" x14ac:dyDescent="0.3">
      <c r="A141" t="s">
        <v>191</v>
      </c>
      <c r="B141" s="1">
        <v>45876</v>
      </c>
      <c r="C141" t="s">
        <v>22</v>
      </c>
      <c r="D141" t="s">
        <v>21</v>
      </c>
      <c r="E141" t="s">
        <v>11</v>
      </c>
      <c r="F141" t="s">
        <v>6</v>
      </c>
      <c r="G141" t="s">
        <v>6</v>
      </c>
      <c r="H141" t="s">
        <v>33</v>
      </c>
      <c r="I141" t="s">
        <v>8</v>
      </c>
      <c r="J141">
        <v>4</v>
      </c>
      <c r="K141">
        <v>3481</v>
      </c>
      <c r="L141">
        <v>13924</v>
      </c>
      <c r="M141">
        <v>8891.02</v>
      </c>
      <c r="N141">
        <v>5032.9799999999996</v>
      </c>
      <c r="O141" t="str">
        <f>TEXT(Table1[[#This Row],[Order_Date]],"yyy")</f>
        <v>2025</v>
      </c>
    </row>
    <row r="142" spans="1:15" x14ac:dyDescent="0.3">
      <c r="A142" t="s">
        <v>192</v>
      </c>
      <c r="B142" s="1">
        <v>45300</v>
      </c>
      <c r="C142" t="s">
        <v>10</v>
      </c>
      <c r="D142" t="s">
        <v>28</v>
      </c>
      <c r="E142" t="s">
        <v>4</v>
      </c>
      <c r="F142" t="s">
        <v>32</v>
      </c>
      <c r="G142" t="s">
        <v>32</v>
      </c>
      <c r="H142" t="s">
        <v>27</v>
      </c>
      <c r="I142" t="s">
        <v>15</v>
      </c>
      <c r="J142">
        <v>15</v>
      </c>
      <c r="K142">
        <v>2529</v>
      </c>
      <c r="L142">
        <v>37935</v>
      </c>
      <c r="M142">
        <v>21539.87</v>
      </c>
      <c r="N142">
        <v>16395.13</v>
      </c>
      <c r="O142" t="str">
        <f>TEXT(Table1[[#This Row],[Order_Date]],"yyy")</f>
        <v>2024</v>
      </c>
    </row>
    <row r="143" spans="1:15" x14ac:dyDescent="0.3">
      <c r="A143" t="s">
        <v>193</v>
      </c>
      <c r="B143" s="1">
        <v>45493</v>
      </c>
      <c r="C143" t="s">
        <v>22</v>
      </c>
      <c r="D143" t="s">
        <v>9</v>
      </c>
      <c r="E143" t="s">
        <v>18</v>
      </c>
      <c r="F143" t="s">
        <v>26</v>
      </c>
      <c r="G143" t="s">
        <v>26</v>
      </c>
      <c r="H143" t="s">
        <v>35</v>
      </c>
      <c r="I143" t="s">
        <v>8</v>
      </c>
      <c r="J143">
        <v>1</v>
      </c>
      <c r="K143">
        <v>3031</v>
      </c>
      <c r="L143">
        <v>3031</v>
      </c>
      <c r="M143">
        <v>2510.69</v>
      </c>
      <c r="N143">
        <v>520.30999999999995</v>
      </c>
      <c r="O143" t="str">
        <f>TEXT(Table1[[#This Row],[Order_Date]],"yyy")</f>
        <v>2024</v>
      </c>
    </row>
    <row r="144" spans="1:15" x14ac:dyDescent="0.3">
      <c r="A144" t="s">
        <v>194</v>
      </c>
      <c r="B144" s="1">
        <v>45394</v>
      </c>
      <c r="C144" t="s">
        <v>3</v>
      </c>
      <c r="D144" t="s">
        <v>21</v>
      </c>
      <c r="E144" t="s">
        <v>4</v>
      </c>
      <c r="F144" t="s">
        <v>32</v>
      </c>
      <c r="G144" t="s">
        <v>32</v>
      </c>
      <c r="H144" t="s">
        <v>30</v>
      </c>
      <c r="I144" t="s">
        <v>15</v>
      </c>
      <c r="J144">
        <v>4</v>
      </c>
      <c r="K144">
        <v>3513</v>
      </c>
      <c r="L144">
        <v>14052</v>
      </c>
      <c r="M144">
        <v>7735.56</v>
      </c>
      <c r="N144">
        <v>6316.44</v>
      </c>
      <c r="O144" t="str">
        <f>TEXT(Table1[[#This Row],[Order_Date]],"yyy")</f>
        <v>2024</v>
      </c>
    </row>
    <row r="145" spans="1:15" x14ac:dyDescent="0.3">
      <c r="A145" t="s">
        <v>195</v>
      </c>
      <c r="B145" s="1">
        <v>45995</v>
      </c>
      <c r="C145" t="s">
        <v>17</v>
      </c>
      <c r="D145" t="s">
        <v>25</v>
      </c>
      <c r="E145" t="s">
        <v>18</v>
      </c>
      <c r="F145" t="s">
        <v>29</v>
      </c>
      <c r="G145" t="s">
        <v>29</v>
      </c>
      <c r="H145" t="s">
        <v>24</v>
      </c>
      <c r="I145" t="s">
        <v>15</v>
      </c>
      <c r="J145">
        <v>16</v>
      </c>
      <c r="K145">
        <v>795</v>
      </c>
      <c r="L145">
        <v>12720</v>
      </c>
      <c r="M145">
        <v>9243.8700000000008</v>
      </c>
      <c r="N145">
        <v>3476.13</v>
      </c>
      <c r="O145" t="str">
        <f>TEXT(Table1[[#This Row],[Order_Date]],"yyy")</f>
        <v>2025</v>
      </c>
    </row>
    <row r="146" spans="1:15" x14ac:dyDescent="0.3">
      <c r="A146" t="s">
        <v>196</v>
      </c>
      <c r="B146" s="1">
        <v>45365</v>
      </c>
      <c r="C146" t="s">
        <v>3</v>
      </c>
      <c r="D146" t="s">
        <v>16</v>
      </c>
      <c r="E146" t="s">
        <v>4</v>
      </c>
      <c r="F146" t="s">
        <v>36</v>
      </c>
      <c r="G146" t="s">
        <v>36</v>
      </c>
      <c r="H146" t="s">
        <v>33</v>
      </c>
      <c r="I146" t="s">
        <v>15</v>
      </c>
      <c r="J146">
        <v>4</v>
      </c>
      <c r="K146">
        <v>4925</v>
      </c>
      <c r="L146">
        <v>19700</v>
      </c>
      <c r="M146">
        <v>13744.95</v>
      </c>
      <c r="N146">
        <v>5955.05</v>
      </c>
      <c r="O146" t="str">
        <f>TEXT(Table1[[#This Row],[Order_Date]],"yyy")</f>
        <v>2024</v>
      </c>
    </row>
    <row r="147" spans="1:15" x14ac:dyDescent="0.3">
      <c r="A147" t="s">
        <v>197</v>
      </c>
      <c r="B147" s="1">
        <v>45429</v>
      </c>
      <c r="C147" t="s">
        <v>10</v>
      </c>
      <c r="D147" t="s">
        <v>16</v>
      </c>
      <c r="E147" t="s">
        <v>11</v>
      </c>
      <c r="F147" t="s">
        <v>19</v>
      </c>
      <c r="G147" t="s">
        <v>19</v>
      </c>
      <c r="H147" t="s">
        <v>7</v>
      </c>
      <c r="I147" t="s">
        <v>8</v>
      </c>
      <c r="J147">
        <v>19</v>
      </c>
      <c r="K147">
        <v>4238</v>
      </c>
      <c r="L147">
        <v>80522</v>
      </c>
      <c r="M147">
        <v>58819.88</v>
      </c>
      <c r="N147">
        <v>21702.12</v>
      </c>
      <c r="O147" t="str">
        <f>TEXT(Table1[[#This Row],[Order_Date]],"yyy")</f>
        <v>2024</v>
      </c>
    </row>
    <row r="148" spans="1:15" x14ac:dyDescent="0.3">
      <c r="A148" t="s">
        <v>198</v>
      </c>
      <c r="B148" s="1">
        <v>45768</v>
      </c>
      <c r="C148" t="s">
        <v>10</v>
      </c>
      <c r="D148" t="s">
        <v>28</v>
      </c>
      <c r="E148" t="s">
        <v>18</v>
      </c>
      <c r="F148" t="s">
        <v>26</v>
      </c>
      <c r="G148" t="s">
        <v>26</v>
      </c>
      <c r="H148" t="s">
        <v>30</v>
      </c>
      <c r="I148" t="s">
        <v>8</v>
      </c>
      <c r="J148">
        <v>9</v>
      </c>
      <c r="K148">
        <v>2213</v>
      </c>
      <c r="L148">
        <v>19917</v>
      </c>
      <c r="M148">
        <v>13417.08</v>
      </c>
      <c r="N148">
        <v>6499.92</v>
      </c>
      <c r="O148" t="str">
        <f>TEXT(Table1[[#This Row],[Order_Date]],"yyy")</f>
        <v>2025</v>
      </c>
    </row>
    <row r="149" spans="1:15" x14ac:dyDescent="0.3">
      <c r="A149" t="s">
        <v>199</v>
      </c>
      <c r="B149" s="1">
        <v>45788</v>
      </c>
      <c r="C149" t="s">
        <v>22</v>
      </c>
      <c r="D149" t="s">
        <v>25</v>
      </c>
      <c r="E149" t="s">
        <v>11</v>
      </c>
      <c r="F149" t="s">
        <v>13</v>
      </c>
      <c r="G149" t="s">
        <v>13</v>
      </c>
      <c r="H149" t="s">
        <v>27</v>
      </c>
      <c r="I149" t="s">
        <v>8</v>
      </c>
      <c r="J149">
        <v>16</v>
      </c>
      <c r="K149">
        <v>1137</v>
      </c>
      <c r="L149">
        <v>18192</v>
      </c>
      <c r="M149">
        <v>11302.17</v>
      </c>
      <c r="N149">
        <v>6889.83</v>
      </c>
      <c r="O149" t="str">
        <f>TEXT(Table1[[#This Row],[Order_Date]],"yyy")</f>
        <v>2025</v>
      </c>
    </row>
    <row r="150" spans="1:15" x14ac:dyDescent="0.3">
      <c r="A150" t="s">
        <v>200</v>
      </c>
      <c r="B150" s="1">
        <v>45654</v>
      </c>
      <c r="C150" t="s">
        <v>22</v>
      </c>
      <c r="D150" t="s">
        <v>9</v>
      </c>
      <c r="E150" t="s">
        <v>4</v>
      </c>
      <c r="F150" t="s">
        <v>23</v>
      </c>
      <c r="G150" t="s">
        <v>23</v>
      </c>
      <c r="H150" t="s">
        <v>27</v>
      </c>
      <c r="I150" t="s">
        <v>15</v>
      </c>
      <c r="J150">
        <v>11</v>
      </c>
      <c r="K150">
        <v>3295</v>
      </c>
      <c r="L150">
        <v>36245</v>
      </c>
      <c r="M150">
        <v>21793.87</v>
      </c>
      <c r="N150">
        <v>14451.13</v>
      </c>
      <c r="O150" t="str">
        <f>TEXT(Table1[[#This Row],[Order_Date]],"yyy")</f>
        <v>2024</v>
      </c>
    </row>
    <row r="151" spans="1:15" x14ac:dyDescent="0.3">
      <c r="A151" t="s">
        <v>201</v>
      </c>
      <c r="B151" s="1">
        <v>45628</v>
      </c>
      <c r="C151" t="s">
        <v>10</v>
      </c>
      <c r="D151" t="s">
        <v>21</v>
      </c>
      <c r="E151" t="s">
        <v>18</v>
      </c>
      <c r="F151" t="s">
        <v>26</v>
      </c>
      <c r="G151" t="s">
        <v>26</v>
      </c>
      <c r="H151" t="s">
        <v>27</v>
      </c>
      <c r="I151" t="s">
        <v>8</v>
      </c>
      <c r="J151">
        <v>7</v>
      </c>
      <c r="K151">
        <v>3770</v>
      </c>
      <c r="L151">
        <v>26390</v>
      </c>
      <c r="M151">
        <v>21733.11</v>
      </c>
      <c r="N151">
        <v>4656.8900000000003</v>
      </c>
      <c r="O151" t="str">
        <f>TEXT(Table1[[#This Row],[Order_Date]],"yyy")</f>
        <v>2024</v>
      </c>
    </row>
    <row r="152" spans="1:15" x14ac:dyDescent="0.3">
      <c r="A152" t="s">
        <v>202</v>
      </c>
      <c r="B152" s="1">
        <v>45628</v>
      </c>
      <c r="C152" t="s">
        <v>3</v>
      </c>
      <c r="D152" t="s">
        <v>9</v>
      </c>
      <c r="E152" t="s">
        <v>18</v>
      </c>
      <c r="F152" t="s">
        <v>26</v>
      </c>
      <c r="G152" t="s">
        <v>26</v>
      </c>
      <c r="H152" t="s">
        <v>24</v>
      </c>
      <c r="I152" t="s">
        <v>15</v>
      </c>
      <c r="J152">
        <v>3</v>
      </c>
      <c r="K152">
        <v>3859</v>
      </c>
      <c r="L152">
        <v>11577</v>
      </c>
      <c r="M152">
        <v>8454.5400000000009</v>
      </c>
      <c r="N152">
        <v>3122.46</v>
      </c>
      <c r="O152" t="str">
        <f>TEXT(Table1[[#This Row],[Order_Date]],"yyy")</f>
        <v>2024</v>
      </c>
    </row>
    <row r="153" spans="1:15" x14ac:dyDescent="0.3">
      <c r="A153" t="s">
        <v>203</v>
      </c>
      <c r="B153" s="1">
        <v>45976</v>
      </c>
      <c r="C153" t="s">
        <v>10</v>
      </c>
      <c r="D153" t="s">
        <v>16</v>
      </c>
      <c r="E153" t="s">
        <v>18</v>
      </c>
      <c r="F153" t="s">
        <v>26</v>
      </c>
      <c r="G153" t="s">
        <v>26</v>
      </c>
      <c r="H153" t="s">
        <v>7</v>
      </c>
      <c r="I153" t="s">
        <v>8</v>
      </c>
      <c r="J153">
        <v>4</v>
      </c>
      <c r="K153">
        <v>3627</v>
      </c>
      <c r="L153">
        <v>14508</v>
      </c>
      <c r="M153">
        <v>9395.24</v>
      </c>
      <c r="N153">
        <v>5112.76</v>
      </c>
      <c r="O153" t="str">
        <f>TEXT(Table1[[#This Row],[Order_Date]],"yyy")</f>
        <v>2025</v>
      </c>
    </row>
    <row r="154" spans="1:15" x14ac:dyDescent="0.3">
      <c r="A154" t="s">
        <v>204</v>
      </c>
      <c r="B154" s="1">
        <v>45550</v>
      </c>
      <c r="C154" t="s">
        <v>3</v>
      </c>
      <c r="D154" t="s">
        <v>28</v>
      </c>
      <c r="E154" t="s">
        <v>18</v>
      </c>
      <c r="F154" t="s">
        <v>26</v>
      </c>
      <c r="G154" t="s">
        <v>26</v>
      </c>
      <c r="H154" t="s">
        <v>27</v>
      </c>
      <c r="I154" t="s">
        <v>15</v>
      </c>
      <c r="J154">
        <v>12</v>
      </c>
      <c r="K154">
        <v>3371</v>
      </c>
      <c r="L154">
        <v>40452</v>
      </c>
      <c r="M154">
        <v>22625.35</v>
      </c>
      <c r="N154">
        <v>17826.650000000001</v>
      </c>
      <c r="O154" t="str">
        <f>TEXT(Table1[[#This Row],[Order_Date]],"yyy")</f>
        <v>2024</v>
      </c>
    </row>
    <row r="155" spans="1:15" x14ac:dyDescent="0.3">
      <c r="A155" t="s">
        <v>205</v>
      </c>
      <c r="B155" s="1">
        <v>45414</v>
      </c>
      <c r="C155" t="s">
        <v>3</v>
      </c>
      <c r="D155" t="s">
        <v>9</v>
      </c>
      <c r="E155" t="s">
        <v>4</v>
      </c>
      <c r="F155" t="s">
        <v>32</v>
      </c>
      <c r="G155" t="s">
        <v>32</v>
      </c>
      <c r="H155" t="s">
        <v>33</v>
      </c>
      <c r="I155" t="s">
        <v>15</v>
      </c>
      <c r="J155">
        <v>8</v>
      </c>
      <c r="K155">
        <v>1021</v>
      </c>
      <c r="L155">
        <v>8168</v>
      </c>
      <c r="M155">
        <v>4575.04</v>
      </c>
      <c r="N155">
        <v>3592.96</v>
      </c>
      <c r="O155" t="str">
        <f>TEXT(Table1[[#This Row],[Order_Date]],"yyy")</f>
        <v>2024</v>
      </c>
    </row>
    <row r="156" spans="1:15" x14ac:dyDescent="0.3">
      <c r="A156" t="s">
        <v>206</v>
      </c>
      <c r="B156" s="1">
        <v>45598</v>
      </c>
      <c r="C156" t="s">
        <v>3</v>
      </c>
      <c r="D156" t="s">
        <v>16</v>
      </c>
      <c r="E156" t="s">
        <v>4</v>
      </c>
      <c r="F156" t="s">
        <v>36</v>
      </c>
      <c r="G156" t="s">
        <v>36</v>
      </c>
      <c r="H156" t="s">
        <v>7</v>
      </c>
      <c r="I156" t="s">
        <v>15</v>
      </c>
      <c r="J156">
        <v>3</v>
      </c>
      <c r="K156">
        <v>349</v>
      </c>
      <c r="L156">
        <v>1047</v>
      </c>
      <c r="M156">
        <v>610.97</v>
      </c>
      <c r="N156">
        <v>436.03</v>
      </c>
      <c r="O156" t="str">
        <f>TEXT(Table1[[#This Row],[Order_Date]],"yyy")</f>
        <v>2024</v>
      </c>
    </row>
    <row r="157" spans="1:15" x14ac:dyDescent="0.3">
      <c r="A157" t="s">
        <v>207</v>
      </c>
      <c r="B157" s="1">
        <v>45594</v>
      </c>
      <c r="C157" t="s">
        <v>10</v>
      </c>
      <c r="D157" t="s">
        <v>9</v>
      </c>
      <c r="E157" t="s">
        <v>18</v>
      </c>
      <c r="F157" t="s">
        <v>29</v>
      </c>
      <c r="G157" t="s">
        <v>29</v>
      </c>
      <c r="H157" t="s">
        <v>35</v>
      </c>
      <c r="I157" t="s">
        <v>15</v>
      </c>
      <c r="J157">
        <v>8</v>
      </c>
      <c r="K157">
        <v>2202</v>
      </c>
      <c r="L157">
        <v>17616</v>
      </c>
      <c r="M157">
        <v>10243.51</v>
      </c>
      <c r="N157">
        <v>7372.49</v>
      </c>
      <c r="O157" t="str">
        <f>TEXT(Table1[[#This Row],[Order_Date]],"yyy")</f>
        <v>2024</v>
      </c>
    </row>
    <row r="158" spans="1:15" x14ac:dyDescent="0.3">
      <c r="A158" t="s">
        <v>208</v>
      </c>
      <c r="B158" s="1">
        <v>45443</v>
      </c>
      <c r="C158" t="s">
        <v>3</v>
      </c>
      <c r="D158" t="s">
        <v>21</v>
      </c>
      <c r="E158" t="s">
        <v>11</v>
      </c>
      <c r="F158" t="s">
        <v>19</v>
      </c>
      <c r="G158" t="s">
        <v>19</v>
      </c>
      <c r="H158" t="s">
        <v>27</v>
      </c>
      <c r="I158" t="s">
        <v>8</v>
      </c>
      <c r="J158">
        <v>20</v>
      </c>
      <c r="K158">
        <v>2126</v>
      </c>
      <c r="L158">
        <v>42520</v>
      </c>
      <c r="M158">
        <v>24935.86</v>
      </c>
      <c r="N158">
        <v>17584.14</v>
      </c>
      <c r="O158" t="str">
        <f>TEXT(Table1[[#This Row],[Order_Date]],"yyy")</f>
        <v>2024</v>
      </c>
    </row>
    <row r="159" spans="1:15" x14ac:dyDescent="0.3">
      <c r="A159" t="s">
        <v>209</v>
      </c>
      <c r="B159" s="1">
        <v>45302</v>
      </c>
      <c r="C159" t="s">
        <v>22</v>
      </c>
      <c r="D159" t="s">
        <v>31</v>
      </c>
      <c r="E159" t="s">
        <v>4</v>
      </c>
      <c r="F159" t="s">
        <v>36</v>
      </c>
      <c r="G159" t="s">
        <v>36</v>
      </c>
      <c r="H159" t="s">
        <v>7</v>
      </c>
      <c r="I159" t="s">
        <v>8</v>
      </c>
      <c r="J159">
        <v>19</v>
      </c>
      <c r="K159">
        <v>3687</v>
      </c>
      <c r="L159">
        <v>70053</v>
      </c>
      <c r="M159">
        <v>49921.71</v>
      </c>
      <c r="N159">
        <v>20131.29</v>
      </c>
      <c r="O159" t="str">
        <f>TEXT(Table1[[#This Row],[Order_Date]],"yyy")</f>
        <v>2024</v>
      </c>
    </row>
    <row r="160" spans="1:15" x14ac:dyDescent="0.3">
      <c r="A160" t="s">
        <v>210</v>
      </c>
      <c r="B160" s="1">
        <v>45903</v>
      </c>
      <c r="C160" t="s">
        <v>10</v>
      </c>
      <c r="D160" t="s">
        <v>31</v>
      </c>
      <c r="E160" t="s">
        <v>4</v>
      </c>
      <c r="F160" t="s">
        <v>36</v>
      </c>
      <c r="G160" t="s">
        <v>36</v>
      </c>
      <c r="H160" t="s">
        <v>30</v>
      </c>
      <c r="I160" t="s">
        <v>8</v>
      </c>
      <c r="J160">
        <v>13</v>
      </c>
      <c r="K160">
        <v>1830</v>
      </c>
      <c r="L160">
        <v>23790</v>
      </c>
      <c r="M160">
        <v>14738.75</v>
      </c>
      <c r="N160">
        <v>9051.25</v>
      </c>
      <c r="O160" t="str">
        <f>TEXT(Table1[[#This Row],[Order_Date]],"yyy")</f>
        <v>2025</v>
      </c>
    </row>
    <row r="161" spans="1:15" x14ac:dyDescent="0.3">
      <c r="A161" t="s">
        <v>211</v>
      </c>
      <c r="B161" s="1">
        <v>45522</v>
      </c>
      <c r="C161" t="s">
        <v>10</v>
      </c>
      <c r="D161" t="s">
        <v>9</v>
      </c>
      <c r="E161" t="s">
        <v>18</v>
      </c>
      <c r="F161" t="s">
        <v>29</v>
      </c>
      <c r="G161" t="s">
        <v>29</v>
      </c>
      <c r="H161" t="s">
        <v>27</v>
      </c>
      <c r="I161" t="s">
        <v>8</v>
      </c>
      <c r="J161">
        <v>4</v>
      </c>
      <c r="K161">
        <v>2210</v>
      </c>
      <c r="L161">
        <v>8840</v>
      </c>
      <c r="M161">
        <v>6672.13</v>
      </c>
      <c r="N161">
        <v>2167.87</v>
      </c>
      <c r="O161" t="str">
        <f>TEXT(Table1[[#This Row],[Order_Date]],"yyy")</f>
        <v>2024</v>
      </c>
    </row>
    <row r="162" spans="1:15" x14ac:dyDescent="0.3">
      <c r="A162" t="s">
        <v>212</v>
      </c>
      <c r="B162" s="1">
        <v>45912</v>
      </c>
      <c r="C162" t="s">
        <v>22</v>
      </c>
      <c r="D162" t="s">
        <v>25</v>
      </c>
      <c r="E162" t="s">
        <v>4</v>
      </c>
      <c r="F162" t="s">
        <v>32</v>
      </c>
      <c r="G162" t="s">
        <v>32</v>
      </c>
      <c r="H162" t="s">
        <v>27</v>
      </c>
      <c r="I162" t="s">
        <v>15</v>
      </c>
      <c r="J162">
        <v>18</v>
      </c>
      <c r="K162">
        <v>1754</v>
      </c>
      <c r="L162">
        <v>31572</v>
      </c>
      <c r="M162">
        <v>21756.5</v>
      </c>
      <c r="N162">
        <v>9815.5</v>
      </c>
      <c r="O162" t="str">
        <f>TEXT(Table1[[#This Row],[Order_Date]],"yyy")</f>
        <v>2025</v>
      </c>
    </row>
    <row r="163" spans="1:15" x14ac:dyDescent="0.3">
      <c r="A163" t="s">
        <v>213</v>
      </c>
      <c r="B163" s="1">
        <v>45571</v>
      </c>
      <c r="C163" t="s">
        <v>22</v>
      </c>
      <c r="D163" t="s">
        <v>9</v>
      </c>
      <c r="E163" t="s">
        <v>11</v>
      </c>
      <c r="F163" t="s">
        <v>6</v>
      </c>
      <c r="G163" t="s">
        <v>6</v>
      </c>
      <c r="H163" t="s">
        <v>7</v>
      </c>
      <c r="I163" t="s">
        <v>15</v>
      </c>
      <c r="J163">
        <v>4</v>
      </c>
      <c r="K163">
        <v>1364</v>
      </c>
      <c r="L163">
        <v>5456</v>
      </c>
      <c r="M163">
        <v>4420.8900000000003</v>
      </c>
      <c r="N163">
        <v>1035.1099999999999</v>
      </c>
      <c r="O163" t="str">
        <f>TEXT(Table1[[#This Row],[Order_Date]],"yyy")</f>
        <v>2024</v>
      </c>
    </row>
    <row r="164" spans="1:15" x14ac:dyDescent="0.3">
      <c r="A164" t="s">
        <v>214</v>
      </c>
      <c r="B164" s="1">
        <v>45412</v>
      </c>
      <c r="C164" t="s">
        <v>3</v>
      </c>
      <c r="D164" t="s">
        <v>31</v>
      </c>
      <c r="E164" t="s">
        <v>18</v>
      </c>
      <c r="F164" t="s">
        <v>26</v>
      </c>
      <c r="G164" t="s">
        <v>26</v>
      </c>
      <c r="H164" t="s">
        <v>24</v>
      </c>
      <c r="I164" t="s">
        <v>15</v>
      </c>
      <c r="J164">
        <v>8</v>
      </c>
      <c r="K164">
        <v>4223</v>
      </c>
      <c r="L164">
        <v>33784</v>
      </c>
      <c r="M164">
        <v>18614.71</v>
      </c>
      <c r="N164">
        <v>15169.29</v>
      </c>
      <c r="O164" t="str">
        <f>TEXT(Table1[[#This Row],[Order_Date]],"yyy")</f>
        <v>2024</v>
      </c>
    </row>
    <row r="165" spans="1:15" x14ac:dyDescent="0.3">
      <c r="A165" t="s">
        <v>215</v>
      </c>
      <c r="B165" s="1">
        <v>45591</v>
      </c>
      <c r="C165" t="s">
        <v>17</v>
      </c>
      <c r="D165" t="s">
        <v>28</v>
      </c>
      <c r="E165" t="s">
        <v>18</v>
      </c>
      <c r="F165" t="s">
        <v>34</v>
      </c>
      <c r="G165" t="s">
        <v>34</v>
      </c>
      <c r="H165" t="s">
        <v>20</v>
      </c>
      <c r="I165" t="s">
        <v>8</v>
      </c>
      <c r="J165">
        <v>16</v>
      </c>
      <c r="K165">
        <v>4849</v>
      </c>
      <c r="L165">
        <v>77584</v>
      </c>
      <c r="M165">
        <v>43515.77</v>
      </c>
      <c r="N165">
        <v>34068.230000000003</v>
      </c>
      <c r="O165" t="str">
        <f>TEXT(Table1[[#This Row],[Order_Date]],"yyy")</f>
        <v>2024</v>
      </c>
    </row>
    <row r="166" spans="1:15" x14ac:dyDescent="0.3">
      <c r="A166" t="s">
        <v>216</v>
      </c>
      <c r="B166" s="1">
        <v>45450</v>
      </c>
      <c r="C166" t="s">
        <v>17</v>
      </c>
      <c r="D166" t="s">
        <v>16</v>
      </c>
      <c r="E166" t="s">
        <v>11</v>
      </c>
      <c r="F166" t="s">
        <v>6</v>
      </c>
      <c r="G166" t="s">
        <v>6</v>
      </c>
      <c r="H166" t="s">
        <v>24</v>
      </c>
      <c r="I166" t="s">
        <v>15</v>
      </c>
      <c r="J166">
        <v>5</v>
      </c>
      <c r="K166">
        <v>4780</v>
      </c>
      <c r="L166">
        <v>23900</v>
      </c>
      <c r="M166">
        <v>16567.900000000001</v>
      </c>
      <c r="N166">
        <v>7332.1</v>
      </c>
      <c r="O166" t="str">
        <f>TEXT(Table1[[#This Row],[Order_Date]],"yyy")</f>
        <v>2024</v>
      </c>
    </row>
    <row r="167" spans="1:15" x14ac:dyDescent="0.3">
      <c r="A167" t="s">
        <v>217</v>
      </c>
      <c r="B167" s="1">
        <v>45834</v>
      </c>
      <c r="C167" t="s">
        <v>17</v>
      </c>
      <c r="D167" t="s">
        <v>25</v>
      </c>
      <c r="E167" t="s">
        <v>11</v>
      </c>
      <c r="F167" t="s">
        <v>19</v>
      </c>
      <c r="G167" t="s">
        <v>19</v>
      </c>
      <c r="H167" t="s">
        <v>35</v>
      </c>
      <c r="I167" t="s">
        <v>15</v>
      </c>
      <c r="J167">
        <v>16</v>
      </c>
      <c r="K167">
        <v>1598</v>
      </c>
      <c r="L167">
        <v>25568</v>
      </c>
      <c r="M167">
        <v>20425.27</v>
      </c>
      <c r="N167">
        <v>5142.7299999999996</v>
      </c>
      <c r="O167" t="str">
        <f>TEXT(Table1[[#This Row],[Order_Date]],"yyy")</f>
        <v>2025</v>
      </c>
    </row>
    <row r="168" spans="1:15" x14ac:dyDescent="0.3">
      <c r="A168" t="s">
        <v>218</v>
      </c>
      <c r="B168" s="1">
        <v>45950</v>
      </c>
      <c r="C168" t="s">
        <v>10</v>
      </c>
      <c r="D168" t="s">
        <v>21</v>
      </c>
      <c r="E168" t="s">
        <v>4</v>
      </c>
      <c r="F168" t="s">
        <v>32</v>
      </c>
      <c r="G168" t="s">
        <v>32</v>
      </c>
      <c r="H168" t="s">
        <v>35</v>
      </c>
      <c r="I168" t="s">
        <v>8</v>
      </c>
      <c r="J168">
        <v>14</v>
      </c>
      <c r="K168">
        <v>3300</v>
      </c>
      <c r="L168">
        <v>46200</v>
      </c>
      <c r="M168">
        <v>26280.29</v>
      </c>
      <c r="N168">
        <v>19919.71</v>
      </c>
      <c r="O168" t="str">
        <f>TEXT(Table1[[#This Row],[Order_Date]],"yyy")</f>
        <v>2025</v>
      </c>
    </row>
    <row r="169" spans="1:15" x14ac:dyDescent="0.3">
      <c r="A169" t="s">
        <v>219</v>
      </c>
      <c r="B169" s="1">
        <v>45298</v>
      </c>
      <c r="C169" t="s">
        <v>17</v>
      </c>
      <c r="D169" t="s">
        <v>9</v>
      </c>
      <c r="E169" t="s">
        <v>11</v>
      </c>
      <c r="F169" t="s">
        <v>6</v>
      </c>
      <c r="G169" t="s">
        <v>6</v>
      </c>
      <c r="H169" t="s">
        <v>14</v>
      </c>
      <c r="I169" t="s">
        <v>15</v>
      </c>
      <c r="J169">
        <v>10</v>
      </c>
      <c r="K169">
        <v>3594</v>
      </c>
      <c r="L169">
        <v>35940</v>
      </c>
      <c r="M169">
        <v>24163.43</v>
      </c>
      <c r="N169">
        <v>11776.57</v>
      </c>
      <c r="O169" t="str">
        <f>TEXT(Table1[[#This Row],[Order_Date]],"yyy")</f>
        <v>2024</v>
      </c>
    </row>
    <row r="170" spans="1:15" x14ac:dyDescent="0.3">
      <c r="A170" t="s">
        <v>220</v>
      </c>
      <c r="B170" s="1">
        <v>45717</v>
      </c>
      <c r="C170" t="s">
        <v>17</v>
      </c>
      <c r="D170" t="s">
        <v>28</v>
      </c>
      <c r="E170" t="s">
        <v>11</v>
      </c>
      <c r="F170" t="s">
        <v>13</v>
      </c>
      <c r="G170" t="s">
        <v>13</v>
      </c>
      <c r="H170" t="s">
        <v>33</v>
      </c>
      <c r="I170" t="s">
        <v>15</v>
      </c>
      <c r="J170">
        <v>1</v>
      </c>
      <c r="K170">
        <v>529</v>
      </c>
      <c r="L170">
        <v>529</v>
      </c>
      <c r="M170">
        <v>434.59</v>
      </c>
      <c r="N170">
        <v>94.41</v>
      </c>
      <c r="O170" t="str">
        <f>TEXT(Table1[[#This Row],[Order_Date]],"yyy")</f>
        <v>2025</v>
      </c>
    </row>
    <row r="171" spans="1:15" x14ac:dyDescent="0.3">
      <c r="A171" t="s">
        <v>221</v>
      </c>
      <c r="B171" s="1">
        <v>45914</v>
      </c>
      <c r="C171" t="s">
        <v>22</v>
      </c>
      <c r="D171" t="s">
        <v>21</v>
      </c>
      <c r="E171" t="s">
        <v>11</v>
      </c>
      <c r="F171" t="s">
        <v>19</v>
      </c>
      <c r="G171" t="s">
        <v>19</v>
      </c>
      <c r="H171" t="s">
        <v>35</v>
      </c>
      <c r="I171" t="s">
        <v>8</v>
      </c>
      <c r="J171">
        <v>15</v>
      </c>
      <c r="K171">
        <v>3507</v>
      </c>
      <c r="L171">
        <v>52605</v>
      </c>
      <c r="M171">
        <v>34526.89</v>
      </c>
      <c r="N171">
        <v>18078.11</v>
      </c>
      <c r="O171" t="str">
        <f>TEXT(Table1[[#This Row],[Order_Date]],"yyy")</f>
        <v>2025</v>
      </c>
    </row>
    <row r="172" spans="1:15" x14ac:dyDescent="0.3">
      <c r="A172" t="s">
        <v>222</v>
      </c>
      <c r="B172" s="1">
        <v>45851</v>
      </c>
      <c r="C172" t="s">
        <v>22</v>
      </c>
      <c r="D172" t="s">
        <v>16</v>
      </c>
      <c r="E172" t="s">
        <v>11</v>
      </c>
      <c r="F172" t="s">
        <v>19</v>
      </c>
      <c r="G172" t="s">
        <v>19</v>
      </c>
      <c r="H172" t="s">
        <v>7</v>
      </c>
      <c r="I172" t="s">
        <v>8</v>
      </c>
      <c r="J172">
        <v>15</v>
      </c>
      <c r="K172">
        <v>2905</v>
      </c>
      <c r="L172">
        <v>43575</v>
      </c>
      <c r="M172">
        <v>26734.51</v>
      </c>
      <c r="N172">
        <v>16840.490000000002</v>
      </c>
      <c r="O172" t="str">
        <f>TEXT(Table1[[#This Row],[Order_Date]],"yyy")</f>
        <v>2025</v>
      </c>
    </row>
    <row r="173" spans="1:15" x14ac:dyDescent="0.3">
      <c r="A173" t="s">
        <v>223</v>
      </c>
      <c r="B173" s="1">
        <v>45922</v>
      </c>
      <c r="C173" t="s">
        <v>22</v>
      </c>
      <c r="D173" t="s">
        <v>21</v>
      </c>
      <c r="E173" t="s">
        <v>18</v>
      </c>
      <c r="F173" t="s">
        <v>34</v>
      </c>
      <c r="G173" t="s">
        <v>34</v>
      </c>
      <c r="H173" t="s">
        <v>20</v>
      </c>
      <c r="I173" t="s">
        <v>15</v>
      </c>
      <c r="J173">
        <v>3</v>
      </c>
      <c r="K173">
        <v>250</v>
      </c>
      <c r="L173">
        <v>750</v>
      </c>
      <c r="M173">
        <v>446.37</v>
      </c>
      <c r="N173">
        <v>303.63</v>
      </c>
      <c r="O173" t="str">
        <f>TEXT(Table1[[#This Row],[Order_Date]],"yyy")</f>
        <v>2025</v>
      </c>
    </row>
    <row r="174" spans="1:15" x14ac:dyDescent="0.3">
      <c r="A174" t="s">
        <v>224</v>
      </c>
      <c r="B174" s="1">
        <v>45871</v>
      </c>
      <c r="C174" t="s">
        <v>10</v>
      </c>
      <c r="D174" t="s">
        <v>31</v>
      </c>
      <c r="E174" t="s">
        <v>18</v>
      </c>
      <c r="F174" t="s">
        <v>29</v>
      </c>
      <c r="G174" t="s">
        <v>29</v>
      </c>
      <c r="H174" t="s">
        <v>24</v>
      </c>
      <c r="I174" t="s">
        <v>8</v>
      </c>
      <c r="J174">
        <v>6</v>
      </c>
      <c r="K174">
        <v>4666</v>
      </c>
      <c r="L174">
        <v>27996</v>
      </c>
      <c r="M174">
        <v>22638.83</v>
      </c>
      <c r="N174">
        <v>5357.17</v>
      </c>
      <c r="O174" t="str">
        <f>TEXT(Table1[[#This Row],[Order_Date]],"yyy")</f>
        <v>2025</v>
      </c>
    </row>
    <row r="175" spans="1:15" x14ac:dyDescent="0.3">
      <c r="A175" t="s">
        <v>225</v>
      </c>
      <c r="B175" s="1">
        <v>45642</v>
      </c>
      <c r="C175" t="s">
        <v>10</v>
      </c>
      <c r="D175" t="s">
        <v>31</v>
      </c>
      <c r="E175" t="s">
        <v>11</v>
      </c>
      <c r="F175" t="s">
        <v>13</v>
      </c>
      <c r="G175" t="s">
        <v>13</v>
      </c>
      <c r="H175" t="s">
        <v>7</v>
      </c>
      <c r="I175" t="s">
        <v>15</v>
      </c>
      <c r="J175">
        <v>6</v>
      </c>
      <c r="K175">
        <v>3712</v>
      </c>
      <c r="L175">
        <v>22272</v>
      </c>
      <c r="M175">
        <v>18366.75</v>
      </c>
      <c r="N175">
        <v>3905.25</v>
      </c>
      <c r="O175" t="str">
        <f>TEXT(Table1[[#This Row],[Order_Date]],"yyy")</f>
        <v>2024</v>
      </c>
    </row>
    <row r="176" spans="1:15" x14ac:dyDescent="0.3">
      <c r="A176" t="s">
        <v>226</v>
      </c>
      <c r="B176" s="1">
        <v>45776</v>
      </c>
      <c r="C176" t="s">
        <v>10</v>
      </c>
      <c r="D176" t="s">
        <v>21</v>
      </c>
      <c r="E176" t="s">
        <v>4</v>
      </c>
      <c r="F176" t="s">
        <v>36</v>
      </c>
      <c r="G176" t="s">
        <v>36</v>
      </c>
      <c r="H176" t="s">
        <v>35</v>
      </c>
      <c r="I176" t="s">
        <v>15</v>
      </c>
      <c r="J176">
        <v>15</v>
      </c>
      <c r="K176">
        <v>3482</v>
      </c>
      <c r="L176">
        <v>52230</v>
      </c>
      <c r="M176">
        <v>30638.080000000002</v>
      </c>
      <c r="N176">
        <v>21591.919999999998</v>
      </c>
      <c r="O176" t="str">
        <f>TEXT(Table1[[#This Row],[Order_Date]],"yyy")</f>
        <v>2025</v>
      </c>
    </row>
    <row r="177" spans="1:15" x14ac:dyDescent="0.3">
      <c r="A177" t="s">
        <v>227</v>
      </c>
      <c r="B177" s="1">
        <v>45391</v>
      </c>
      <c r="C177" t="s">
        <v>22</v>
      </c>
      <c r="D177" t="s">
        <v>31</v>
      </c>
      <c r="E177" t="s">
        <v>4</v>
      </c>
      <c r="F177" t="s">
        <v>23</v>
      </c>
      <c r="G177" t="s">
        <v>23</v>
      </c>
      <c r="H177" t="s">
        <v>35</v>
      </c>
      <c r="I177" t="s">
        <v>15</v>
      </c>
      <c r="J177">
        <v>10</v>
      </c>
      <c r="K177">
        <v>4093</v>
      </c>
      <c r="L177">
        <v>40930</v>
      </c>
      <c r="M177">
        <v>30851.88</v>
      </c>
      <c r="N177">
        <v>10078.120000000001</v>
      </c>
      <c r="O177" t="str">
        <f>TEXT(Table1[[#This Row],[Order_Date]],"yyy")</f>
        <v>2024</v>
      </c>
    </row>
    <row r="178" spans="1:15" x14ac:dyDescent="0.3">
      <c r="A178" t="s">
        <v>228</v>
      </c>
      <c r="B178" s="1">
        <v>45632</v>
      </c>
      <c r="C178" t="s">
        <v>10</v>
      </c>
      <c r="D178" t="s">
        <v>31</v>
      </c>
      <c r="E178" t="s">
        <v>4</v>
      </c>
      <c r="F178" t="s">
        <v>36</v>
      </c>
      <c r="G178" t="s">
        <v>36</v>
      </c>
      <c r="H178" t="s">
        <v>27</v>
      </c>
      <c r="I178" t="s">
        <v>15</v>
      </c>
      <c r="J178">
        <v>3</v>
      </c>
      <c r="K178">
        <v>1963</v>
      </c>
      <c r="L178">
        <v>5889</v>
      </c>
      <c r="M178">
        <v>4343.47</v>
      </c>
      <c r="N178">
        <v>1545.53</v>
      </c>
      <c r="O178" t="str">
        <f>TEXT(Table1[[#This Row],[Order_Date]],"yyy")</f>
        <v>2024</v>
      </c>
    </row>
    <row r="179" spans="1:15" x14ac:dyDescent="0.3">
      <c r="A179" t="s">
        <v>229</v>
      </c>
      <c r="B179" s="1">
        <v>45991</v>
      </c>
      <c r="C179" t="s">
        <v>17</v>
      </c>
      <c r="D179" t="s">
        <v>31</v>
      </c>
      <c r="E179" t="s">
        <v>18</v>
      </c>
      <c r="F179" t="s">
        <v>34</v>
      </c>
      <c r="G179" t="s">
        <v>34</v>
      </c>
      <c r="H179" t="s">
        <v>20</v>
      </c>
      <c r="I179" t="s">
        <v>8</v>
      </c>
      <c r="J179">
        <v>6</v>
      </c>
      <c r="K179">
        <v>1814</v>
      </c>
      <c r="L179">
        <v>10884</v>
      </c>
      <c r="M179">
        <v>9042.48</v>
      </c>
      <c r="N179">
        <v>1841.52</v>
      </c>
      <c r="O179" t="str">
        <f>TEXT(Table1[[#This Row],[Order_Date]],"yyy")</f>
        <v>2025</v>
      </c>
    </row>
    <row r="180" spans="1:15" x14ac:dyDescent="0.3">
      <c r="A180" t="s">
        <v>230</v>
      </c>
      <c r="B180" s="1">
        <v>45479</v>
      </c>
      <c r="C180" t="s">
        <v>3</v>
      </c>
      <c r="D180" t="s">
        <v>25</v>
      </c>
      <c r="E180" t="s">
        <v>11</v>
      </c>
      <c r="F180" t="s">
        <v>6</v>
      </c>
      <c r="G180" t="s">
        <v>6</v>
      </c>
      <c r="H180" t="s">
        <v>27</v>
      </c>
      <c r="I180" t="s">
        <v>15</v>
      </c>
      <c r="J180">
        <v>5</v>
      </c>
      <c r="K180">
        <v>3694</v>
      </c>
      <c r="L180">
        <v>18470</v>
      </c>
      <c r="M180">
        <v>15085.08</v>
      </c>
      <c r="N180">
        <v>3384.92</v>
      </c>
      <c r="O180" t="str">
        <f>TEXT(Table1[[#This Row],[Order_Date]],"yyy")</f>
        <v>2024</v>
      </c>
    </row>
    <row r="181" spans="1:15" x14ac:dyDescent="0.3">
      <c r="A181" t="s">
        <v>231</v>
      </c>
      <c r="B181" s="1">
        <v>45572</v>
      </c>
      <c r="C181" t="s">
        <v>22</v>
      </c>
      <c r="D181" t="s">
        <v>31</v>
      </c>
      <c r="E181" t="s">
        <v>18</v>
      </c>
      <c r="F181" t="s">
        <v>29</v>
      </c>
      <c r="G181" t="s">
        <v>29</v>
      </c>
      <c r="H181" t="s">
        <v>33</v>
      </c>
      <c r="I181" t="s">
        <v>15</v>
      </c>
      <c r="J181">
        <v>16</v>
      </c>
      <c r="K181">
        <v>2861</v>
      </c>
      <c r="L181">
        <v>45776</v>
      </c>
      <c r="M181">
        <v>35465.370000000003</v>
      </c>
      <c r="N181">
        <v>10310.629999999999</v>
      </c>
      <c r="O181" t="str">
        <f>TEXT(Table1[[#This Row],[Order_Date]],"yyy")</f>
        <v>2024</v>
      </c>
    </row>
    <row r="182" spans="1:15" x14ac:dyDescent="0.3">
      <c r="A182" t="s">
        <v>232</v>
      </c>
      <c r="B182" s="1">
        <v>45293</v>
      </c>
      <c r="C182" t="s">
        <v>3</v>
      </c>
      <c r="D182" t="s">
        <v>16</v>
      </c>
      <c r="E182" t="s">
        <v>11</v>
      </c>
      <c r="F182" t="s">
        <v>19</v>
      </c>
      <c r="G182" t="s">
        <v>19</v>
      </c>
      <c r="H182" t="s">
        <v>20</v>
      </c>
      <c r="I182" t="s">
        <v>8</v>
      </c>
      <c r="J182">
        <v>4</v>
      </c>
      <c r="K182">
        <v>4849</v>
      </c>
      <c r="L182">
        <v>19396</v>
      </c>
      <c r="M182">
        <v>13235.09</v>
      </c>
      <c r="N182">
        <v>6160.91</v>
      </c>
      <c r="O182" t="str">
        <f>TEXT(Table1[[#This Row],[Order_Date]],"yyy")</f>
        <v>2024</v>
      </c>
    </row>
    <row r="183" spans="1:15" x14ac:dyDescent="0.3">
      <c r="A183" t="s">
        <v>233</v>
      </c>
      <c r="B183" s="1">
        <v>45342</v>
      </c>
      <c r="C183" t="s">
        <v>10</v>
      </c>
      <c r="D183" t="s">
        <v>28</v>
      </c>
      <c r="E183" t="s">
        <v>11</v>
      </c>
      <c r="F183" t="s">
        <v>19</v>
      </c>
      <c r="G183" t="s">
        <v>19</v>
      </c>
      <c r="H183" t="s">
        <v>14</v>
      </c>
      <c r="I183" t="s">
        <v>15</v>
      </c>
      <c r="J183">
        <v>9</v>
      </c>
      <c r="K183">
        <v>3880</v>
      </c>
      <c r="L183">
        <v>34920</v>
      </c>
      <c r="M183">
        <v>27583.27</v>
      </c>
      <c r="N183">
        <v>7336.73</v>
      </c>
      <c r="O183" t="str">
        <f>TEXT(Table1[[#This Row],[Order_Date]],"yyy")</f>
        <v>2024</v>
      </c>
    </row>
    <row r="184" spans="1:15" x14ac:dyDescent="0.3">
      <c r="A184" t="s">
        <v>234</v>
      </c>
      <c r="B184" s="1">
        <v>45750</v>
      </c>
      <c r="C184" t="s">
        <v>17</v>
      </c>
      <c r="D184" t="s">
        <v>31</v>
      </c>
      <c r="E184" t="s">
        <v>4</v>
      </c>
      <c r="F184" t="s">
        <v>32</v>
      </c>
      <c r="G184" t="s">
        <v>32</v>
      </c>
      <c r="H184" t="s">
        <v>14</v>
      </c>
      <c r="I184" t="s">
        <v>15</v>
      </c>
      <c r="J184">
        <v>10</v>
      </c>
      <c r="K184">
        <v>1164</v>
      </c>
      <c r="L184">
        <v>11640</v>
      </c>
      <c r="M184">
        <v>7175.74</v>
      </c>
      <c r="N184">
        <v>4464.26</v>
      </c>
      <c r="O184" t="str">
        <f>TEXT(Table1[[#This Row],[Order_Date]],"yyy")</f>
        <v>2025</v>
      </c>
    </row>
    <row r="185" spans="1:15" x14ac:dyDescent="0.3">
      <c r="A185" t="s">
        <v>235</v>
      </c>
      <c r="B185" s="1">
        <v>45386</v>
      </c>
      <c r="C185" t="s">
        <v>17</v>
      </c>
      <c r="D185" t="s">
        <v>9</v>
      </c>
      <c r="E185" t="s">
        <v>11</v>
      </c>
      <c r="F185" t="s">
        <v>6</v>
      </c>
      <c r="G185" t="s">
        <v>6</v>
      </c>
      <c r="H185" t="s">
        <v>14</v>
      </c>
      <c r="I185" t="s">
        <v>15</v>
      </c>
      <c r="J185">
        <v>15</v>
      </c>
      <c r="K185">
        <v>3925</v>
      </c>
      <c r="L185">
        <v>58875</v>
      </c>
      <c r="M185">
        <v>45444.77</v>
      </c>
      <c r="N185">
        <v>13430.23</v>
      </c>
      <c r="O185" t="str">
        <f>TEXT(Table1[[#This Row],[Order_Date]],"yyy")</f>
        <v>2024</v>
      </c>
    </row>
    <row r="186" spans="1:15" x14ac:dyDescent="0.3">
      <c r="A186" t="s">
        <v>236</v>
      </c>
      <c r="B186" s="1">
        <v>45437</v>
      </c>
      <c r="C186" t="s">
        <v>22</v>
      </c>
      <c r="D186" t="s">
        <v>31</v>
      </c>
      <c r="E186" t="s">
        <v>11</v>
      </c>
      <c r="F186" t="s">
        <v>19</v>
      </c>
      <c r="G186" t="s">
        <v>19</v>
      </c>
      <c r="H186" t="s">
        <v>30</v>
      </c>
      <c r="I186" t="s">
        <v>8</v>
      </c>
      <c r="J186">
        <v>12</v>
      </c>
      <c r="K186">
        <v>531</v>
      </c>
      <c r="L186">
        <v>6372</v>
      </c>
      <c r="M186">
        <v>3946.57</v>
      </c>
      <c r="N186">
        <v>2425.4299999999998</v>
      </c>
      <c r="O186" t="str">
        <f>TEXT(Table1[[#This Row],[Order_Date]],"yyy")</f>
        <v>2024</v>
      </c>
    </row>
    <row r="187" spans="1:15" x14ac:dyDescent="0.3">
      <c r="A187" t="s">
        <v>237</v>
      </c>
      <c r="B187" s="1">
        <v>45364</v>
      </c>
      <c r="C187" t="s">
        <v>17</v>
      </c>
      <c r="D187" t="s">
        <v>25</v>
      </c>
      <c r="E187" t="s">
        <v>4</v>
      </c>
      <c r="F187" t="s">
        <v>32</v>
      </c>
      <c r="G187" t="s">
        <v>32</v>
      </c>
      <c r="H187" t="s">
        <v>33</v>
      </c>
      <c r="I187" t="s">
        <v>15</v>
      </c>
      <c r="J187">
        <v>1</v>
      </c>
      <c r="K187">
        <v>3378</v>
      </c>
      <c r="L187">
        <v>3378</v>
      </c>
      <c r="M187">
        <v>1980.92</v>
      </c>
      <c r="N187">
        <v>1397.08</v>
      </c>
      <c r="O187" t="str">
        <f>TEXT(Table1[[#This Row],[Order_Date]],"yyy")</f>
        <v>2024</v>
      </c>
    </row>
    <row r="188" spans="1:15" x14ac:dyDescent="0.3">
      <c r="A188" t="s">
        <v>238</v>
      </c>
      <c r="B188" s="1">
        <v>45533</v>
      </c>
      <c r="C188" t="s">
        <v>22</v>
      </c>
      <c r="D188" t="s">
        <v>9</v>
      </c>
      <c r="E188" t="s">
        <v>11</v>
      </c>
      <c r="F188" t="s">
        <v>6</v>
      </c>
      <c r="G188" t="s">
        <v>6</v>
      </c>
      <c r="H188" t="s">
        <v>20</v>
      </c>
      <c r="I188" t="s">
        <v>15</v>
      </c>
      <c r="J188">
        <v>10</v>
      </c>
      <c r="K188">
        <v>967</v>
      </c>
      <c r="L188">
        <v>9670</v>
      </c>
      <c r="M188">
        <v>5865.27</v>
      </c>
      <c r="N188">
        <v>3804.73</v>
      </c>
      <c r="O188" t="str">
        <f>TEXT(Table1[[#This Row],[Order_Date]],"yyy")</f>
        <v>2024</v>
      </c>
    </row>
    <row r="189" spans="1:15" x14ac:dyDescent="0.3">
      <c r="A189" t="s">
        <v>239</v>
      </c>
      <c r="B189" s="1">
        <v>45386</v>
      </c>
      <c r="C189" t="s">
        <v>17</v>
      </c>
      <c r="D189" t="s">
        <v>25</v>
      </c>
      <c r="E189" t="s">
        <v>4</v>
      </c>
      <c r="F189" t="s">
        <v>23</v>
      </c>
      <c r="G189" t="s">
        <v>23</v>
      </c>
      <c r="H189" t="s">
        <v>7</v>
      </c>
      <c r="I189" t="s">
        <v>15</v>
      </c>
      <c r="J189">
        <v>7</v>
      </c>
      <c r="K189">
        <v>4419</v>
      </c>
      <c r="L189">
        <v>30933</v>
      </c>
      <c r="M189">
        <v>25739.02</v>
      </c>
      <c r="N189">
        <v>5193.9799999999996</v>
      </c>
      <c r="O189" t="str">
        <f>TEXT(Table1[[#This Row],[Order_Date]],"yyy")</f>
        <v>2024</v>
      </c>
    </row>
    <row r="190" spans="1:15" x14ac:dyDescent="0.3">
      <c r="A190" t="s">
        <v>240</v>
      </c>
      <c r="B190" s="1">
        <v>45509</v>
      </c>
      <c r="C190" t="s">
        <v>10</v>
      </c>
      <c r="D190" t="s">
        <v>28</v>
      </c>
      <c r="E190" t="s">
        <v>18</v>
      </c>
      <c r="F190" t="s">
        <v>29</v>
      </c>
      <c r="G190" t="s">
        <v>29</v>
      </c>
      <c r="H190" t="s">
        <v>14</v>
      </c>
      <c r="I190" t="s">
        <v>15</v>
      </c>
      <c r="J190">
        <v>2</v>
      </c>
      <c r="K190">
        <v>518</v>
      </c>
      <c r="L190">
        <v>1036</v>
      </c>
      <c r="M190">
        <v>765.34</v>
      </c>
      <c r="N190">
        <v>270.66000000000003</v>
      </c>
      <c r="O190" t="str">
        <f>TEXT(Table1[[#This Row],[Order_Date]],"yyy")</f>
        <v>2024</v>
      </c>
    </row>
    <row r="191" spans="1:15" x14ac:dyDescent="0.3">
      <c r="A191" t="s">
        <v>241</v>
      </c>
      <c r="B191" s="1">
        <v>45390</v>
      </c>
      <c r="C191" t="s">
        <v>10</v>
      </c>
      <c r="D191" t="s">
        <v>21</v>
      </c>
      <c r="E191" t="s">
        <v>18</v>
      </c>
      <c r="F191" t="s">
        <v>29</v>
      </c>
      <c r="G191" t="s">
        <v>29</v>
      </c>
      <c r="H191" t="s">
        <v>7</v>
      </c>
      <c r="I191" t="s">
        <v>8</v>
      </c>
      <c r="J191">
        <v>16</v>
      </c>
      <c r="K191">
        <v>887</v>
      </c>
      <c r="L191">
        <v>14192</v>
      </c>
      <c r="M191">
        <v>9468.2800000000007</v>
      </c>
      <c r="N191">
        <v>4723.72</v>
      </c>
      <c r="O191" t="str">
        <f>TEXT(Table1[[#This Row],[Order_Date]],"yyy")</f>
        <v>2024</v>
      </c>
    </row>
    <row r="192" spans="1:15" x14ac:dyDescent="0.3">
      <c r="A192" t="s">
        <v>242</v>
      </c>
      <c r="B192" s="1">
        <v>45508</v>
      </c>
      <c r="C192" t="s">
        <v>3</v>
      </c>
      <c r="D192" t="s">
        <v>21</v>
      </c>
      <c r="E192" t="s">
        <v>18</v>
      </c>
      <c r="F192" t="s">
        <v>26</v>
      </c>
      <c r="G192" t="s">
        <v>26</v>
      </c>
      <c r="H192" t="s">
        <v>27</v>
      </c>
      <c r="I192" t="s">
        <v>8</v>
      </c>
      <c r="J192">
        <v>18</v>
      </c>
      <c r="K192">
        <v>2721</v>
      </c>
      <c r="L192">
        <v>48978</v>
      </c>
      <c r="M192">
        <v>31788.560000000001</v>
      </c>
      <c r="N192">
        <v>17189.439999999999</v>
      </c>
      <c r="O192" t="str">
        <f>TEXT(Table1[[#This Row],[Order_Date]],"yyy")</f>
        <v>2024</v>
      </c>
    </row>
    <row r="193" spans="1:15" x14ac:dyDescent="0.3">
      <c r="A193" t="s">
        <v>243</v>
      </c>
      <c r="B193" s="1">
        <v>45354</v>
      </c>
      <c r="C193" t="s">
        <v>22</v>
      </c>
      <c r="D193" t="s">
        <v>9</v>
      </c>
      <c r="E193" t="s">
        <v>4</v>
      </c>
      <c r="F193" t="s">
        <v>23</v>
      </c>
      <c r="G193" t="s">
        <v>23</v>
      </c>
      <c r="H193" t="s">
        <v>20</v>
      </c>
      <c r="I193" t="s">
        <v>8</v>
      </c>
      <c r="J193">
        <v>20</v>
      </c>
      <c r="K193">
        <v>3853</v>
      </c>
      <c r="L193">
        <v>77060</v>
      </c>
      <c r="M193">
        <v>48718.99</v>
      </c>
      <c r="N193">
        <v>28341.01</v>
      </c>
      <c r="O193" t="str">
        <f>TEXT(Table1[[#This Row],[Order_Date]],"yyy")</f>
        <v>2024</v>
      </c>
    </row>
    <row r="194" spans="1:15" x14ac:dyDescent="0.3">
      <c r="A194" t="s">
        <v>244</v>
      </c>
      <c r="B194" s="1">
        <v>45794</v>
      </c>
      <c r="C194" t="s">
        <v>3</v>
      </c>
      <c r="D194" t="s">
        <v>9</v>
      </c>
      <c r="E194" t="s">
        <v>4</v>
      </c>
      <c r="F194" t="s">
        <v>32</v>
      </c>
      <c r="G194" t="s">
        <v>32</v>
      </c>
      <c r="H194" t="s">
        <v>33</v>
      </c>
      <c r="I194" t="s">
        <v>8</v>
      </c>
      <c r="J194">
        <v>20</v>
      </c>
      <c r="K194">
        <v>904</v>
      </c>
      <c r="L194">
        <v>18080</v>
      </c>
      <c r="M194">
        <v>11856.39</v>
      </c>
      <c r="N194">
        <v>6223.61</v>
      </c>
      <c r="O194" t="str">
        <f>TEXT(Table1[[#This Row],[Order_Date]],"yyy")</f>
        <v>2025</v>
      </c>
    </row>
    <row r="195" spans="1:15" x14ac:dyDescent="0.3">
      <c r="A195" t="s">
        <v>245</v>
      </c>
      <c r="B195" s="1">
        <v>45608</v>
      </c>
      <c r="C195" t="s">
        <v>10</v>
      </c>
      <c r="D195" t="s">
        <v>21</v>
      </c>
      <c r="E195" t="s">
        <v>4</v>
      </c>
      <c r="F195" t="s">
        <v>36</v>
      </c>
      <c r="G195" t="s">
        <v>36</v>
      </c>
      <c r="H195" t="s">
        <v>14</v>
      </c>
      <c r="I195" t="s">
        <v>15</v>
      </c>
      <c r="J195">
        <v>15</v>
      </c>
      <c r="K195">
        <v>2055</v>
      </c>
      <c r="L195">
        <v>30825</v>
      </c>
      <c r="M195">
        <v>18654.36</v>
      </c>
      <c r="N195">
        <v>12170.64</v>
      </c>
      <c r="O195" t="str">
        <f>TEXT(Table1[[#This Row],[Order_Date]],"yyy")</f>
        <v>2024</v>
      </c>
    </row>
    <row r="196" spans="1:15" x14ac:dyDescent="0.3">
      <c r="A196" t="s">
        <v>246</v>
      </c>
      <c r="B196" s="1">
        <v>45961</v>
      </c>
      <c r="C196" t="s">
        <v>10</v>
      </c>
      <c r="D196" t="s">
        <v>21</v>
      </c>
      <c r="E196" t="s">
        <v>18</v>
      </c>
      <c r="F196" t="s">
        <v>34</v>
      </c>
      <c r="G196" t="s">
        <v>34</v>
      </c>
      <c r="H196" t="s">
        <v>35</v>
      </c>
      <c r="I196" t="s">
        <v>15</v>
      </c>
      <c r="J196">
        <v>11</v>
      </c>
      <c r="K196">
        <v>1763</v>
      </c>
      <c r="L196">
        <v>19393</v>
      </c>
      <c r="M196">
        <v>12945.08</v>
      </c>
      <c r="N196">
        <v>6447.92</v>
      </c>
      <c r="O196" t="str">
        <f>TEXT(Table1[[#This Row],[Order_Date]],"yyy")</f>
        <v>2025</v>
      </c>
    </row>
    <row r="197" spans="1:15" x14ac:dyDescent="0.3">
      <c r="A197" t="s">
        <v>247</v>
      </c>
      <c r="B197" s="1">
        <v>45329</v>
      </c>
      <c r="C197" t="s">
        <v>3</v>
      </c>
      <c r="D197" t="s">
        <v>28</v>
      </c>
      <c r="E197" t="s">
        <v>18</v>
      </c>
      <c r="F197" t="s">
        <v>26</v>
      </c>
      <c r="G197" t="s">
        <v>26</v>
      </c>
      <c r="H197" t="s">
        <v>20</v>
      </c>
      <c r="I197" t="s">
        <v>8</v>
      </c>
      <c r="J197">
        <v>1</v>
      </c>
      <c r="K197">
        <v>3284</v>
      </c>
      <c r="L197">
        <v>3284</v>
      </c>
      <c r="M197">
        <v>2546.79</v>
      </c>
      <c r="N197">
        <v>737.21</v>
      </c>
      <c r="O197" t="str">
        <f>TEXT(Table1[[#This Row],[Order_Date]],"yyy")</f>
        <v>2024</v>
      </c>
    </row>
    <row r="198" spans="1:15" x14ac:dyDescent="0.3">
      <c r="A198" t="s">
        <v>248</v>
      </c>
      <c r="B198" s="1">
        <v>45790</v>
      </c>
      <c r="C198" t="s">
        <v>22</v>
      </c>
      <c r="D198" t="s">
        <v>9</v>
      </c>
      <c r="E198" t="s">
        <v>11</v>
      </c>
      <c r="F198" t="s">
        <v>13</v>
      </c>
      <c r="G198" t="s">
        <v>13</v>
      </c>
      <c r="H198" t="s">
        <v>14</v>
      </c>
      <c r="I198" t="s">
        <v>15</v>
      </c>
      <c r="J198">
        <v>19</v>
      </c>
      <c r="K198">
        <v>328</v>
      </c>
      <c r="L198">
        <v>6232</v>
      </c>
      <c r="M198">
        <v>3551.55</v>
      </c>
      <c r="N198">
        <v>2680.45</v>
      </c>
      <c r="O198" t="str">
        <f>TEXT(Table1[[#This Row],[Order_Date]],"yyy")</f>
        <v>2025</v>
      </c>
    </row>
    <row r="199" spans="1:15" x14ac:dyDescent="0.3">
      <c r="A199" t="s">
        <v>249</v>
      </c>
      <c r="B199" s="1">
        <v>45549</v>
      </c>
      <c r="C199" t="s">
        <v>22</v>
      </c>
      <c r="D199" t="s">
        <v>25</v>
      </c>
      <c r="E199" t="s">
        <v>4</v>
      </c>
      <c r="F199" t="s">
        <v>36</v>
      </c>
      <c r="G199" t="s">
        <v>36</v>
      </c>
      <c r="H199" t="s">
        <v>24</v>
      </c>
      <c r="I199" t="s">
        <v>8</v>
      </c>
      <c r="J199">
        <v>17</v>
      </c>
      <c r="K199">
        <v>3340</v>
      </c>
      <c r="L199">
        <v>56780</v>
      </c>
      <c r="M199">
        <v>36207.14</v>
      </c>
      <c r="N199">
        <v>20572.86</v>
      </c>
      <c r="O199" t="str">
        <f>TEXT(Table1[[#This Row],[Order_Date]],"yyy")</f>
        <v>2024</v>
      </c>
    </row>
    <row r="200" spans="1:15" x14ac:dyDescent="0.3">
      <c r="A200" t="s">
        <v>250</v>
      </c>
      <c r="B200" s="1">
        <v>45367</v>
      </c>
      <c r="C200" t="s">
        <v>17</v>
      </c>
      <c r="D200" t="s">
        <v>9</v>
      </c>
      <c r="E200" t="s">
        <v>4</v>
      </c>
      <c r="F200" t="s">
        <v>23</v>
      </c>
      <c r="G200" t="s">
        <v>23</v>
      </c>
      <c r="H200" t="s">
        <v>35</v>
      </c>
      <c r="I200" t="s">
        <v>8</v>
      </c>
      <c r="J200">
        <v>11</v>
      </c>
      <c r="K200">
        <v>931</v>
      </c>
      <c r="L200">
        <v>10241</v>
      </c>
      <c r="M200">
        <v>5655.72</v>
      </c>
      <c r="N200">
        <v>4585.28</v>
      </c>
      <c r="O200" t="str">
        <f>TEXT(Table1[[#This Row],[Order_Date]],"yyy")</f>
        <v>2024</v>
      </c>
    </row>
    <row r="201" spans="1:15" x14ac:dyDescent="0.3">
      <c r="A201" t="s">
        <v>251</v>
      </c>
      <c r="B201" s="1">
        <v>45614</v>
      </c>
      <c r="C201" t="s">
        <v>17</v>
      </c>
      <c r="D201" t="s">
        <v>28</v>
      </c>
      <c r="E201" t="s">
        <v>4</v>
      </c>
      <c r="F201" t="s">
        <v>23</v>
      </c>
      <c r="G201" t="s">
        <v>23</v>
      </c>
      <c r="H201" t="s">
        <v>27</v>
      </c>
      <c r="I201" t="s">
        <v>15</v>
      </c>
      <c r="J201">
        <v>19</v>
      </c>
      <c r="K201">
        <v>893</v>
      </c>
      <c r="L201">
        <v>16967</v>
      </c>
      <c r="M201">
        <v>13043.7</v>
      </c>
      <c r="N201">
        <v>3923.3</v>
      </c>
      <c r="O201" t="str">
        <f>TEXT(Table1[[#This Row],[Order_Date]],"yyy")</f>
        <v>2024</v>
      </c>
    </row>
    <row r="202" spans="1:15" x14ac:dyDescent="0.3">
      <c r="A202" t="s">
        <v>252</v>
      </c>
      <c r="B202" s="1">
        <v>45790</v>
      </c>
      <c r="C202" t="s">
        <v>10</v>
      </c>
      <c r="D202" t="s">
        <v>16</v>
      </c>
      <c r="E202" t="s">
        <v>4</v>
      </c>
      <c r="F202" t="s">
        <v>23</v>
      </c>
      <c r="G202" t="s">
        <v>23</v>
      </c>
      <c r="H202" t="s">
        <v>20</v>
      </c>
      <c r="I202" t="s">
        <v>8</v>
      </c>
      <c r="J202">
        <v>18</v>
      </c>
      <c r="K202">
        <v>2244</v>
      </c>
      <c r="L202">
        <v>40392</v>
      </c>
      <c r="M202">
        <v>32981.57</v>
      </c>
      <c r="N202">
        <v>7410.43</v>
      </c>
      <c r="O202" t="str">
        <f>TEXT(Table1[[#This Row],[Order_Date]],"yyy")</f>
        <v>2025</v>
      </c>
    </row>
    <row r="203" spans="1:15" x14ac:dyDescent="0.3">
      <c r="A203" t="s">
        <v>253</v>
      </c>
      <c r="B203" s="1">
        <v>45369</v>
      </c>
      <c r="C203" t="s">
        <v>22</v>
      </c>
      <c r="D203" t="s">
        <v>25</v>
      </c>
      <c r="E203" t="s">
        <v>4</v>
      </c>
      <c r="F203" t="s">
        <v>23</v>
      </c>
      <c r="G203" t="s">
        <v>23</v>
      </c>
      <c r="H203" t="s">
        <v>30</v>
      </c>
      <c r="I203" t="s">
        <v>8</v>
      </c>
      <c r="J203">
        <v>7</v>
      </c>
      <c r="K203">
        <v>4262</v>
      </c>
      <c r="L203">
        <v>29834</v>
      </c>
      <c r="M203">
        <v>16873.52</v>
      </c>
      <c r="N203">
        <v>12960.48</v>
      </c>
      <c r="O203" t="str">
        <f>TEXT(Table1[[#This Row],[Order_Date]],"yyy")</f>
        <v>2024</v>
      </c>
    </row>
    <row r="204" spans="1:15" x14ac:dyDescent="0.3">
      <c r="A204" t="s">
        <v>254</v>
      </c>
      <c r="B204" s="1">
        <v>45332</v>
      </c>
      <c r="C204" t="s">
        <v>10</v>
      </c>
      <c r="D204" t="s">
        <v>25</v>
      </c>
      <c r="E204" t="s">
        <v>11</v>
      </c>
      <c r="F204" t="s">
        <v>19</v>
      </c>
      <c r="G204" t="s">
        <v>19</v>
      </c>
      <c r="H204" t="s">
        <v>35</v>
      </c>
      <c r="I204" t="s">
        <v>8</v>
      </c>
      <c r="J204">
        <v>5</v>
      </c>
      <c r="K204">
        <v>3841</v>
      </c>
      <c r="L204">
        <v>19205</v>
      </c>
      <c r="M204">
        <v>13943.45</v>
      </c>
      <c r="N204">
        <v>5261.55</v>
      </c>
      <c r="O204" t="str">
        <f>TEXT(Table1[[#This Row],[Order_Date]],"yyy")</f>
        <v>2024</v>
      </c>
    </row>
    <row r="205" spans="1:15" x14ac:dyDescent="0.3">
      <c r="A205" t="s">
        <v>255</v>
      </c>
      <c r="B205" s="1">
        <v>45485</v>
      </c>
      <c r="C205" t="s">
        <v>22</v>
      </c>
      <c r="D205" t="s">
        <v>28</v>
      </c>
      <c r="E205" t="s">
        <v>11</v>
      </c>
      <c r="F205" t="s">
        <v>6</v>
      </c>
      <c r="G205" t="s">
        <v>6</v>
      </c>
      <c r="H205" t="s">
        <v>30</v>
      </c>
      <c r="I205" t="s">
        <v>8</v>
      </c>
      <c r="J205">
        <v>10</v>
      </c>
      <c r="K205">
        <v>4915</v>
      </c>
      <c r="L205">
        <v>49150</v>
      </c>
      <c r="M205">
        <v>34685.19</v>
      </c>
      <c r="N205">
        <v>14464.81</v>
      </c>
      <c r="O205" t="str">
        <f>TEXT(Table1[[#This Row],[Order_Date]],"yyy")</f>
        <v>2024</v>
      </c>
    </row>
    <row r="206" spans="1:15" x14ac:dyDescent="0.3">
      <c r="A206" t="s">
        <v>256</v>
      </c>
      <c r="B206" s="1">
        <v>45790</v>
      </c>
      <c r="C206" t="s">
        <v>22</v>
      </c>
      <c r="D206" t="s">
        <v>28</v>
      </c>
      <c r="E206" t="s">
        <v>18</v>
      </c>
      <c r="F206" t="s">
        <v>34</v>
      </c>
      <c r="G206" t="s">
        <v>34</v>
      </c>
      <c r="H206" t="s">
        <v>20</v>
      </c>
      <c r="I206" t="s">
        <v>15</v>
      </c>
      <c r="J206">
        <v>5</v>
      </c>
      <c r="K206">
        <v>4477</v>
      </c>
      <c r="L206">
        <v>22385</v>
      </c>
      <c r="M206">
        <v>18603.5</v>
      </c>
      <c r="N206">
        <v>3781.5</v>
      </c>
      <c r="O206" t="str">
        <f>TEXT(Table1[[#This Row],[Order_Date]],"yyy")</f>
        <v>2025</v>
      </c>
    </row>
    <row r="207" spans="1:15" x14ac:dyDescent="0.3">
      <c r="A207" t="s">
        <v>257</v>
      </c>
      <c r="B207" s="1">
        <v>45654</v>
      </c>
      <c r="C207" t="s">
        <v>22</v>
      </c>
      <c r="D207" t="s">
        <v>31</v>
      </c>
      <c r="E207" t="s">
        <v>18</v>
      </c>
      <c r="F207" t="s">
        <v>34</v>
      </c>
      <c r="G207" t="s">
        <v>34</v>
      </c>
      <c r="H207" t="s">
        <v>35</v>
      </c>
      <c r="I207" t="s">
        <v>8</v>
      </c>
      <c r="J207">
        <v>10</v>
      </c>
      <c r="K207">
        <v>1884</v>
      </c>
      <c r="L207">
        <v>18840</v>
      </c>
      <c r="M207">
        <v>12919.67</v>
      </c>
      <c r="N207">
        <v>5920.33</v>
      </c>
      <c r="O207" t="str">
        <f>TEXT(Table1[[#This Row],[Order_Date]],"yyy")</f>
        <v>2024</v>
      </c>
    </row>
    <row r="208" spans="1:15" x14ac:dyDescent="0.3">
      <c r="A208" t="s">
        <v>258</v>
      </c>
      <c r="B208" s="1">
        <v>45294</v>
      </c>
      <c r="C208" t="s">
        <v>10</v>
      </c>
      <c r="D208" t="s">
        <v>21</v>
      </c>
      <c r="E208" t="s">
        <v>4</v>
      </c>
      <c r="F208" t="s">
        <v>23</v>
      </c>
      <c r="G208" t="s">
        <v>23</v>
      </c>
      <c r="H208" t="s">
        <v>33</v>
      </c>
      <c r="I208" t="s">
        <v>15</v>
      </c>
      <c r="J208">
        <v>16</v>
      </c>
      <c r="K208">
        <v>2975</v>
      </c>
      <c r="L208">
        <v>47600</v>
      </c>
      <c r="M208">
        <v>30438.99</v>
      </c>
      <c r="N208">
        <v>17161.009999999998</v>
      </c>
      <c r="O208" t="str">
        <f>TEXT(Table1[[#This Row],[Order_Date]],"yyy")</f>
        <v>2024</v>
      </c>
    </row>
    <row r="209" spans="1:15" x14ac:dyDescent="0.3">
      <c r="A209" t="s">
        <v>259</v>
      </c>
      <c r="B209" s="1">
        <v>45971</v>
      </c>
      <c r="C209" t="s">
        <v>22</v>
      </c>
      <c r="D209" t="s">
        <v>21</v>
      </c>
      <c r="E209" t="s">
        <v>11</v>
      </c>
      <c r="F209" t="s">
        <v>6</v>
      </c>
      <c r="G209" t="s">
        <v>6</v>
      </c>
      <c r="H209" t="s">
        <v>7</v>
      </c>
      <c r="I209" t="s">
        <v>8</v>
      </c>
      <c r="J209">
        <v>10</v>
      </c>
      <c r="K209">
        <v>710</v>
      </c>
      <c r="L209">
        <v>7100</v>
      </c>
      <c r="M209">
        <v>4351.49</v>
      </c>
      <c r="N209">
        <v>2748.51</v>
      </c>
      <c r="O209" t="str">
        <f>TEXT(Table1[[#This Row],[Order_Date]],"yyy")</f>
        <v>2025</v>
      </c>
    </row>
    <row r="210" spans="1:15" x14ac:dyDescent="0.3">
      <c r="A210" t="s">
        <v>260</v>
      </c>
      <c r="B210" s="1">
        <v>45951</v>
      </c>
      <c r="C210" t="s">
        <v>3</v>
      </c>
      <c r="D210" t="s">
        <v>31</v>
      </c>
      <c r="E210" t="s">
        <v>18</v>
      </c>
      <c r="F210" t="s">
        <v>26</v>
      </c>
      <c r="G210" t="s">
        <v>26</v>
      </c>
      <c r="H210" t="s">
        <v>14</v>
      </c>
      <c r="I210" t="s">
        <v>15</v>
      </c>
      <c r="J210">
        <v>4</v>
      </c>
      <c r="K210">
        <v>1070</v>
      </c>
      <c r="L210">
        <v>4280</v>
      </c>
      <c r="M210">
        <v>3003.8</v>
      </c>
      <c r="N210">
        <v>1276.2</v>
      </c>
      <c r="O210" t="str">
        <f>TEXT(Table1[[#This Row],[Order_Date]],"yyy")</f>
        <v>2025</v>
      </c>
    </row>
    <row r="211" spans="1:15" x14ac:dyDescent="0.3">
      <c r="A211" t="s">
        <v>261</v>
      </c>
      <c r="B211" s="1">
        <v>45331</v>
      </c>
      <c r="C211" t="s">
        <v>17</v>
      </c>
      <c r="D211" t="s">
        <v>28</v>
      </c>
      <c r="E211" t="s">
        <v>18</v>
      </c>
      <c r="F211" t="s">
        <v>26</v>
      </c>
      <c r="G211" t="s">
        <v>26</v>
      </c>
      <c r="H211" t="s">
        <v>27</v>
      </c>
      <c r="I211" t="s">
        <v>8</v>
      </c>
      <c r="J211">
        <v>3</v>
      </c>
      <c r="K211">
        <v>1204</v>
      </c>
      <c r="L211">
        <v>3612</v>
      </c>
      <c r="M211">
        <v>2784.92</v>
      </c>
      <c r="N211">
        <v>827.08</v>
      </c>
      <c r="O211" t="str">
        <f>TEXT(Table1[[#This Row],[Order_Date]],"yyy")</f>
        <v>2024</v>
      </c>
    </row>
    <row r="212" spans="1:15" x14ac:dyDescent="0.3">
      <c r="A212" t="s">
        <v>262</v>
      </c>
      <c r="B212" s="1">
        <v>45295</v>
      </c>
      <c r="C212" t="s">
        <v>3</v>
      </c>
      <c r="D212" t="s">
        <v>16</v>
      </c>
      <c r="E212" t="s">
        <v>4</v>
      </c>
      <c r="F212" t="s">
        <v>23</v>
      </c>
      <c r="G212" t="s">
        <v>23</v>
      </c>
      <c r="H212" t="s">
        <v>14</v>
      </c>
      <c r="I212" t="s">
        <v>15</v>
      </c>
      <c r="J212">
        <v>2</v>
      </c>
      <c r="K212">
        <v>2925</v>
      </c>
      <c r="L212">
        <v>5850</v>
      </c>
      <c r="M212">
        <v>4097.99</v>
      </c>
      <c r="N212">
        <v>1752.01</v>
      </c>
      <c r="O212" t="str">
        <f>TEXT(Table1[[#This Row],[Order_Date]],"yyy")</f>
        <v>2024</v>
      </c>
    </row>
    <row r="213" spans="1:15" x14ac:dyDescent="0.3">
      <c r="A213" t="s">
        <v>263</v>
      </c>
      <c r="B213" s="1">
        <v>45446</v>
      </c>
      <c r="C213" t="s">
        <v>22</v>
      </c>
      <c r="D213" t="s">
        <v>16</v>
      </c>
      <c r="E213" t="s">
        <v>4</v>
      </c>
      <c r="F213" t="s">
        <v>23</v>
      </c>
      <c r="G213" t="s">
        <v>23</v>
      </c>
      <c r="H213" t="s">
        <v>20</v>
      </c>
      <c r="I213" t="s">
        <v>8</v>
      </c>
      <c r="J213">
        <v>9</v>
      </c>
      <c r="K213">
        <v>2133</v>
      </c>
      <c r="L213">
        <v>19197</v>
      </c>
      <c r="M213">
        <v>11537.29</v>
      </c>
      <c r="N213">
        <v>7659.71</v>
      </c>
      <c r="O213" t="str">
        <f>TEXT(Table1[[#This Row],[Order_Date]],"yyy")</f>
        <v>2024</v>
      </c>
    </row>
    <row r="214" spans="1:15" x14ac:dyDescent="0.3">
      <c r="A214" t="s">
        <v>264</v>
      </c>
      <c r="B214" s="1">
        <v>45323</v>
      </c>
      <c r="C214" t="s">
        <v>10</v>
      </c>
      <c r="D214" t="s">
        <v>21</v>
      </c>
      <c r="E214" t="s">
        <v>11</v>
      </c>
      <c r="F214" t="s">
        <v>13</v>
      </c>
      <c r="G214" t="s">
        <v>13</v>
      </c>
      <c r="H214" t="s">
        <v>33</v>
      </c>
      <c r="I214" t="s">
        <v>8</v>
      </c>
      <c r="J214">
        <v>20</v>
      </c>
      <c r="K214">
        <v>4931</v>
      </c>
      <c r="L214">
        <v>98620</v>
      </c>
      <c r="M214">
        <v>75711.91</v>
      </c>
      <c r="N214">
        <v>22908.09</v>
      </c>
      <c r="O214" t="str">
        <f>TEXT(Table1[[#This Row],[Order_Date]],"yyy")</f>
        <v>2024</v>
      </c>
    </row>
    <row r="215" spans="1:15" x14ac:dyDescent="0.3">
      <c r="A215" t="s">
        <v>265</v>
      </c>
      <c r="B215" s="1">
        <v>45297</v>
      </c>
      <c r="C215" t="s">
        <v>17</v>
      </c>
      <c r="D215" t="s">
        <v>28</v>
      </c>
      <c r="E215" t="s">
        <v>4</v>
      </c>
      <c r="F215" t="s">
        <v>32</v>
      </c>
      <c r="G215" t="s">
        <v>32</v>
      </c>
      <c r="H215" t="s">
        <v>27</v>
      </c>
      <c r="I215" t="s">
        <v>8</v>
      </c>
      <c r="J215">
        <v>19</v>
      </c>
      <c r="K215">
        <v>3270</v>
      </c>
      <c r="L215">
        <v>62130</v>
      </c>
      <c r="M215">
        <v>49323.75</v>
      </c>
      <c r="N215">
        <v>12806.25</v>
      </c>
      <c r="O215" t="str">
        <f>TEXT(Table1[[#This Row],[Order_Date]],"yyy")</f>
        <v>2024</v>
      </c>
    </row>
    <row r="216" spans="1:15" x14ac:dyDescent="0.3">
      <c r="A216" t="s">
        <v>266</v>
      </c>
      <c r="B216" s="1">
        <v>45606</v>
      </c>
      <c r="C216" t="s">
        <v>3</v>
      </c>
      <c r="D216" t="s">
        <v>21</v>
      </c>
      <c r="E216" t="s">
        <v>11</v>
      </c>
      <c r="F216" t="s">
        <v>19</v>
      </c>
      <c r="G216" t="s">
        <v>19</v>
      </c>
      <c r="H216" t="s">
        <v>24</v>
      </c>
      <c r="I216" t="s">
        <v>15</v>
      </c>
      <c r="J216">
        <v>4</v>
      </c>
      <c r="K216">
        <v>3078</v>
      </c>
      <c r="L216">
        <v>12312</v>
      </c>
      <c r="M216">
        <v>9364.9699999999993</v>
      </c>
      <c r="N216">
        <v>2947.03</v>
      </c>
      <c r="O216" t="str">
        <f>TEXT(Table1[[#This Row],[Order_Date]],"yyy")</f>
        <v>2024</v>
      </c>
    </row>
    <row r="217" spans="1:15" x14ac:dyDescent="0.3">
      <c r="A217" t="s">
        <v>267</v>
      </c>
      <c r="B217" s="1">
        <v>45506</v>
      </c>
      <c r="C217" t="s">
        <v>17</v>
      </c>
      <c r="D217" t="s">
        <v>9</v>
      </c>
      <c r="E217" t="s">
        <v>18</v>
      </c>
      <c r="F217" t="s">
        <v>26</v>
      </c>
      <c r="G217" t="s">
        <v>26</v>
      </c>
      <c r="H217" t="s">
        <v>7</v>
      </c>
      <c r="I217" t="s">
        <v>15</v>
      </c>
      <c r="J217">
        <v>13</v>
      </c>
      <c r="K217">
        <v>3275</v>
      </c>
      <c r="L217">
        <v>42575</v>
      </c>
      <c r="M217">
        <v>32605.43</v>
      </c>
      <c r="N217">
        <v>9969.57</v>
      </c>
      <c r="O217" t="str">
        <f>TEXT(Table1[[#This Row],[Order_Date]],"yyy")</f>
        <v>2024</v>
      </c>
    </row>
    <row r="218" spans="1:15" x14ac:dyDescent="0.3">
      <c r="A218" t="s">
        <v>268</v>
      </c>
      <c r="B218" s="1">
        <v>45829</v>
      </c>
      <c r="C218" t="s">
        <v>3</v>
      </c>
      <c r="D218" t="s">
        <v>21</v>
      </c>
      <c r="E218" t="s">
        <v>4</v>
      </c>
      <c r="F218" t="s">
        <v>32</v>
      </c>
      <c r="G218" t="s">
        <v>32</v>
      </c>
      <c r="H218" t="s">
        <v>27</v>
      </c>
      <c r="I218" t="s">
        <v>15</v>
      </c>
      <c r="J218">
        <v>15</v>
      </c>
      <c r="K218">
        <v>3976</v>
      </c>
      <c r="L218">
        <v>59640</v>
      </c>
      <c r="M218">
        <v>50489.29</v>
      </c>
      <c r="N218">
        <v>9150.7099999999991</v>
      </c>
      <c r="O218" t="str">
        <f>TEXT(Table1[[#This Row],[Order_Date]],"yyy")</f>
        <v>2025</v>
      </c>
    </row>
    <row r="219" spans="1:15" x14ac:dyDescent="0.3">
      <c r="A219" t="s">
        <v>269</v>
      </c>
      <c r="B219" s="1">
        <v>45393</v>
      </c>
      <c r="C219" t="s">
        <v>10</v>
      </c>
      <c r="D219" t="s">
        <v>9</v>
      </c>
      <c r="E219" t="s">
        <v>18</v>
      </c>
      <c r="F219" t="s">
        <v>26</v>
      </c>
      <c r="G219" t="s">
        <v>26</v>
      </c>
      <c r="H219" t="s">
        <v>24</v>
      </c>
      <c r="I219" t="s">
        <v>15</v>
      </c>
      <c r="J219">
        <v>4</v>
      </c>
      <c r="K219">
        <v>3581</v>
      </c>
      <c r="L219">
        <v>14324</v>
      </c>
      <c r="M219">
        <v>11774.73</v>
      </c>
      <c r="N219">
        <v>2549.27</v>
      </c>
      <c r="O219" t="str">
        <f>TEXT(Table1[[#This Row],[Order_Date]],"yyy")</f>
        <v>2024</v>
      </c>
    </row>
    <row r="220" spans="1:15" x14ac:dyDescent="0.3">
      <c r="A220" t="s">
        <v>270</v>
      </c>
      <c r="B220" s="1">
        <v>45563</v>
      </c>
      <c r="C220" t="s">
        <v>17</v>
      </c>
      <c r="D220" t="s">
        <v>16</v>
      </c>
      <c r="E220" t="s">
        <v>4</v>
      </c>
      <c r="F220" t="s">
        <v>36</v>
      </c>
      <c r="G220" t="s">
        <v>36</v>
      </c>
      <c r="H220" t="s">
        <v>7</v>
      </c>
      <c r="I220" t="s">
        <v>8</v>
      </c>
      <c r="J220">
        <v>1</v>
      </c>
      <c r="K220">
        <v>315</v>
      </c>
      <c r="L220">
        <v>315</v>
      </c>
      <c r="M220">
        <v>218.28</v>
      </c>
      <c r="N220">
        <v>96.72</v>
      </c>
      <c r="O220" t="str">
        <f>TEXT(Table1[[#This Row],[Order_Date]],"yyy")</f>
        <v>2024</v>
      </c>
    </row>
    <row r="221" spans="1:15" x14ac:dyDescent="0.3">
      <c r="A221" t="s">
        <v>271</v>
      </c>
      <c r="B221" s="1">
        <v>45819</v>
      </c>
      <c r="C221" t="s">
        <v>17</v>
      </c>
      <c r="D221" t="s">
        <v>16</v>
      </c>
      <c r="E221" t="s">
        <v>18</v>
      </c>
      <c r="F221" t="s">
        <v>34</v>
      </c>
      <c r="G221" t="s">
        <v>34</v>
      </c>
      <c r="H221" t="s">
        <v>7</v>
      </c>
      <c r="I221" t="s">
        <v>8</v>
      </c>
      <c r="J221">
        <v>14</v>
      </c>
      <c r="K221">
        <v>3039</v>
      </c>
      <c r="L221">
        <v>42546</v>
      </c>
      <c r="M221">
        <v>27226.81</v>
      </c>
      <c r="N221">
        <v>15319.19</v>
      </c>
      <c r="O221" t="str">
        <f>TEXT(Table1[[#This Row],[Order_Date]],"yyy")</f>
        <v>2025</v>
      </c>
    </row>
    <row r="222" spans="1:15" x14ac:dyDescent="0.3">
      <c r="A222" t="s">
        <v>272</v>
      </c>
      <c r="B222" s="1">
        <v>45786</v>
      </c>
      <c r="C222" t="s">
        <v>3</v>
      </c>
      <c r="D222" t="s">
        <v>21</v>
      </c>
      <c r="E222" t="s">
        <v>18</v>
      </c>
      <c r="F222" t="s">
        <v>26</v>
      </c>
      <c r="G222" t="s">
        <v>26</v>
      </c>
      <c r="H222" t="s">
        <v>7</v>
      </c>
      <c r="I222" t="s">
        <v>15</v>
      </c>
      <c r="J222">
        <v>11</v>
      </c>
      <c r="K222">
        <v>1285</v>
      </c>
      <c r="L222">
        <v>14135</v>
      </c>
      <c r="M222">
        <v>9862.67</v>
      </c>
      <c r="N222">
        <v>4272.33</v>
      </c>
      <c r="O222" t="str">
        <f>TEXT(Table1[[#This Row],[Order_Date]],"yyy")</f>
        <v>2025</v>
      </c>
    </row>
    <row r="223" spans="1:15" x14ac:dyDescent="0.3">
      <c r="A223" t="s">
        <v>273</v>
      </c>
      <c r="B223" s="1">
        <v>45982</v>
      </c>
      <c r="C223" t="s">
        <v>3</v>
      </c>
      <c r="D223" t="s">
        <v>21</v>
      </c>
      <c r="E223" t="s">
        <v>11</v>
      </c>
      <c r="F223" t="s">
        <v>19</v>
      </c>
      <c r="G223" t="s">
        <v>19</v>
      </c>
      <c r="H223" t="s">
        <v>30</v>
      </c>
      <c r="I223" t="s">
        <v>15</v>
      </c>
      <c r="J223">
        <v>10</v>
      </c>
      <c r="K223">
        <v>2566</v>
      </c>
      <c r="L223">
        <v>25660</v>
      </c>
      <c r="M223">
        <v>17677.57</v>
      </c>
      <c r="N223">
        <v>7982.43</v>
      </c>
      <c r="O223" t="str">
        <f>TEXT(Table1[[#This Row],[Order_Date]],"yyy")</f>
        <v>2025</v>
      </c>
    </row>
    <row r="224" spans="1:15" x14ac:dyDescent="0.3">
      <c r="A224" t="s">
        <v>274</v>
      </c>
      <c r="B224" s="1">
        <v>45558</v>
      </c>
      <c r="C224" t="s">
        <v>3</v>
      </c>
      <c r="D224" t="s">
        <v>28</v>
      </c>
      <c r="E224" t="s">
        <v>11</v>
      </c>
      <c r="F224" t="s">
        <v>19</v>
      </c>
      <c r="G224" t="s">
        <v>19</v>
      </c>
      <c r="H224" t="s">
        <v>7</v>
      </c>
      <c r="I224" t="s">
        <v>15</v>
      </c>
      <c r="J224">
        <v>5</v>
      </c>
      <c r="K224">
        <v>1977</v>
      </c>
      <c r="L224">
        <v>9885</v>
      </c>
      <c r="M224">
        <v>7147.1</v>
      </c>
      <c r="N224">
        <v>2737.9</v>
      </c>
      <c r="O224" t="str">
        <f>TEXT(Table1[[#This Row],[Order_Date]],"yyy")</f>
        <v>2024</v>
      </c>
    </row>
    <row r="225" spans="1:15" x14ac:dyDescent="0.3">
      <c r="A225" t="s">
        <v>275</v>
      </c>
      <c r="B225" s="1">
        <v>45774</v>
      </c>
      <c r="C225" t="s">
        <v>10</v>
      </c>
      <c r="D225" t="s">
        <v>16</v>
      </c>
      <c r="E225" t="s">
        <v>18</v>
      </c>
      <c r="F225" t="s">
        <v>29</v>
      </c>
      <c r="G225" t="s">
        <v>29</v>
      </c>
      <c r="H225" t="s">
        <v>35</v>
      </c>
      <c r="I225" t="s">
        <v>8</v>
      </c>
      <c r="J225">
        <v>17</v>
      </c>
      <c r="K225">
        <v>968</v>
      </c>
      <c r="L225">
        <v>16456</v>
      </c>
      <c r="M225">
        <v>12222.59</v>
      </c>
      <c r="N225">
        <v>4233.41</v>
      </c>
      <c r="O225" t="str">
        <f>TEXT(Table1[[#This Row],[Order_Date]],"yyy")</f>
        <v>2025</v>
      </c>
    </row>
    <row r="226" spans="1:15" x14ac:dyDescent="0.3">
      <c r="A226" t="s">
        <v>276</v>
      </c>
      <c r="B226" s="1">
        <v>46013</v>
      </c>
      <c r="C226" t="s">
        <v>17</v>
      </c>
      <c r="D226" t="s">
        <v>21</v>
      </c>
      <c r="E226" t="s">
        <v>11</v>
      </c>
      <c r="F226" t="s">
        <v>19</v>
      </c>
      <c r="G226" t="s">
        <v>19</v>
      </c>
      <c r="H226" t="s">
        <v>14</v>
      </c>
      <c r="I226" t="s">
        <v>8</v>
      </c>
      <c r="J226">
        <v>3</v>
      </c>
      <c r="K226">
        <v>4340</v>
      </c>
      <c r="L226">
        <v>13020</v>
      </c>
      <c r="M226">
        <v>10130.68</v>
      </c>
      <c r="N226">
        <v>2889.32</v>
      </c>
      <c r="O226" t="str">
        <f>TEXT(Table1[[#This Row],[Order_Date]],"yyy")</f>
        <v>2025</v>
      </c>
    </row>
    <row r="227" spans="1:15" x14ac:dyDescent="0.3">
      <c r="A227" t="s">
        <v>277</v>
      </c>
      <c r="B227" s="1">
        <v>45934</v>
      </c>
      <c r="C227" t="s">
        <v>3</v>
      </c>
      <c r="D227" t="s">
        <v>16</v>
      </c>
      <c r="E227" t="s">
        <v>4</v>
      </c>
      <c r="F227" t="s">
        <v>36</v>
      </c>
      <c r="G227" t="s">
        <v>36</v>
      </c>
      <c r="H227" t="s">
        <v>33</v>
      </c>
      <c r="I227" t="s">
        <v>8</v>
      </c>
      <c r="J227">
        <v>13</v>
      </c>
      <c r="K227">
        <v>639</v>
      </c>
      <c r="L227">
        <v>8307</v>
      </c>
      <c r="M227">
        <v>6245.08</v>
      </c>
      <c r="N227">
        <v>2061.92</v>
      </c>
      <c r="O227" t="str">
        <f>TEXT(Table1[[#This Row],[Order_Date]],"yyy")</f>
        <v>2025</v>
      </c>
    </row>
    <row r="228" spans="1:15" x14ac:dyDescent="0.3">
      <c r="A228" t="s">
        <v>278</v>
      </c>
      <c r="B228" s="1">
        <v>45295</v>
      </c>
      <c r="C228" t="s">
        <v>17</v>
      </c>
      <c r="D228" t="s">
        <v>9</v>
      </c>
      <c r="E228" t="s">
        <v>18</v>
      </c>
      <c r="F228" t="s">
        <v>26</v>
      </c>
      <c r="G228" t="s">
        <v>26</v>
      </c>
      <c r="H228" t="s">
        <v>20</v>
      </c>
      <c r="I228" t="s">
        <v>15</v>
      </c>
      <c r="J228">
        <v>16</v>
      </c>
      <c r="K228">
        <v>4210</v>
      </c>
      <c r="L228">
        <v>67360</v>
      </c>
      <c r="M228">
        <v>51203.82</v>
      </c>
      <c r="N228">
        <v>16156.18</v>
      </c>
      <c r="O228" t="str">
        <f>TEXT(Table1[[#This Row],[Order_Date]],"yyy")</f>
        <v>2024</v>
      </c>
    </row>
    <row r="229" spans="1:15" x14ac:dyDescent="0.3">
      <c r="A229" t="s">
        <v>279</v>
      </c>
      <c r="B229" s="1">
        <v>45493</v>
      </c>
      <c r="C229" t="s">
        <v>10</v>
      </c>
      <c r="D229" t="s">
        <v>16</v>
      </c>
      <c r="E229" t="s">
        <v>11</v>
      </c>
      <c r="F229" t="s">
        <v>6</v>
      </c>
      <c r="G229" t="s">
        <v>6</v>
      </c>
      <c r="H229" t="s">
        <v>33</v>
      </c>
      <c r="I229" t="s">
        <v>8</v>
      </c>
      <c r="J229">
        <v>16</v>
      </c>
      <c r="K229">
        <v>4447</v>
      </c>
      <c r="L229">
        <v>71152</v>
      </c>
      <c r="M229">
        <v>46842.96</v>
      </c>
      <c r="N229">
        <v>24309.040000000001</v>
      </c>
      <c r="O229" t="str">
        <f>TEXT(Table1[[#This Row],[Order_Date]],"yyy")</f>
        <v>2024</v>
      </c>
    </row>
    <row r="230" spans="1:15" x14ac:dyDescent="0.3">
      <c r="A230" t="s">
        <v>280</v>
      </c>
      <c r="B230" s="1">
        <v>45505</v>
      </c>
      <c r="C230" t="s">
        <v>10</v>
      </c>
      <c r="D230" t="s">
        <v>28</v>
      </c>
      <c r="E230" t="s">
        <v>4</v>
      </c>
      <c r="F230" t="s">
        <v>32</v>
      </c>
      <c r="G230" t="s">
        <v>32</v>
      </c>
      <c r="H230" t="s">
        <v>20</v>
      </c>
      <c r="I230" t="s">
        <v>8</v>
      </c>
      <c r="J230">
        <v>5</v>
      </c>
      <c r="K230">
        <v>2056</v>
      </c>
      <c r="L230">
        <v>10280</v>
      </c>
      <c r="M230">
        <v>5660.57</v>
      </c>
      <c r="N230">
        <v>4619.43</v>
      </c>
      <c r="O230" t="str">
        <f>TEXT(Table1[[#This Row],[Order_Date]],"yyy")</f>
        <v>2024</v>
      </c>
    </row>
    <row r="231" spans="1:15" x14ac:dyDescent="0.3">
      <c r="A231" t="s">
        <v>281</v>
      </c>
      <c r="B231" s="1">
        <v>45830</v>
      </c>
      <c r="C231" t="s">
        <v>3</v>
      </c>
      <c r="D231" t="s">
        <v>25</v>
      </c>
      <c r="E231" t="s">
        <v>18</v>
      </c>
      <c r="F231" t="s">
        <v>26</v>
      </c>
      <c r="G231" t="s">
        <v>26</v>
      </c>
      <c r="H231" t="s">
        <v>24</v>
      </c>
      <c r="I231" t="s">
        <v>8</v>
      </c>
      <c r="J231">
        <v>1</v>
      </c>
      <c r="K231">
        <v>3395</v>
      </c>
      <c r="L231">
        <v>3395</v>
      </c>
      <c r="M231">
        <v>1908.47</v>
      </c>
      <c r="N231">
        <v>1486.53</v>
      </c>
      <c r="O231" t="str">
        <f>TEXT(Table1[[#This Row],[Order_Date]],"yyy")</f>
        <v>2025</v>
      </c>
    </row>
    <row r="232" spans="1:15" x14ac:dyDescent="0.3">
      <c r="A232" t="s">
        <v>282</v>
      </c>
      <c r="B232" s="1">
        <v>45664</v>
      </c>
      <c r="C232" t="s">
        <v>22</v>
      </c>
      <c r="D232" t="s">
        <v>28</v>
      </c>
      <c r="E232" t="s">
        <v>11</v>
      </c>
      <c r="F232" t="s">
        <v>19</v>
      </c>
      <c r="G232" t="s">
        <v>19</v>
      </c>
      <c r="H232" t="s">
        <v>14</v>
      </c>
      <c r="I232" t="s">
        <v>15</v>
      </c>
      <c r="J232">
        <v>4</v>
      </c>
      <c r="K232">
        <v>3083</v>
      </c>
      <c r="L232">
        <v>12332</v>
      </c>
      <c r="M232">
        <v>8816.31</v>
      </c>
      <c r="N232">
        <v>3515.69</v>
      </c>
      <c r="O232" t="str">
        <f>TEXT(Table1[[#This Row],[Order_Date]],"yyy")</f>
        <v>2025</v>
      </c>
    </row>
    <row r="233" spans="1:15" x14ac:dyDescent="0.3">
      <c r="A233" t="s">
        <v>283</v>
      </c>
      <c r="B233" s="1">
        <v>45296</v>
      </c>
      <c r="C233" t="s">
        <v>3</v>
      </c>
      <c r="D233" t="s">
        <v>31</v>
      </c>
      <c r="E233" t="s">
        <v>11</v>
      </c>
      <c r="F233" t="s">
        <v>6</v>
      </c>
      <c r="G233" t="s">
        <v>6</v>
      </c>
      <c r="H233" t="s">
        <v>24</v>
      </c>
      <c r="I233" t="s">
        <v>15</v>
      </c>
      <c r="J233">
        <v>8</v>
      </c>
      <c r="K233">
        <v>1980</v>
      </c>
      <c r="L233">
        <v>15840</v>
      </c>
      <c r="M233">
        <v>10080.57</v>
      </c>
      <c r="N233">
        <v>5759.43</v>
      </c>
      <c r="O233" t="str">
        <f>TEXT(Table1[[#This Row],[Order_Date]],"yyy")</f>
        <v>2024</v>
      </c>
    </row>
    <row r="234" spans="1:15" x14ac:dyDescent="0.3">
      <c r="A234" t="s">
        <v>284</v>
      </c>
      <c r="B234" s="1">
        <v>45928</v>
      </c>
      <c r="C234" t="s">
        <v>10</v>
      </c>
      <c r="D234" t="s">
        <v>21</v>
      </c>
      <c r="E234" t="s">
        <v>4</v>
      </c>
      <c r="F234" t="s">
        <v>36</v>
      </c>
      <c r="G234" t="s">
        <v>36</v>
      </c>
      <c r="H234" t="s">
        <v>27</v>
      </c>
      <c r="I234" t="s">
        <v>15</v>
      </c>
      <c r="J234">
        <v>8</v>
      </c>
      <c r="K234">
        <v>3134</v>
      </c>
      <c r="L234">
        <v>25072</v>
      </c>
      <c r="M234">
        <v>16156.61</v>
      </c>
      <c r="N234">
        <v>8915.39</v>
      </c>
      <c r="O234" t="str">
        <f>TEXT(Table1[[#This Row],[Order_Date]],"yyy")</f>
        <v>2025</v>
      </c>
    </row>
    <row r="235" spans="1:15" x14ac:dyDescent="0.3">
      <c r="A235" t="s">
        <v>285</v>
      </c>
      <c r="B235" s="1">
        <v>45792</v>
      </c>
      <c r="C235" t="s">
        <v>10</v>
      </c>
      <c r="D235" t="s">
        <v>31</v>
      </c>
      <c r="E235" t="s">
        <v>18</v>
      </c>
      <c r="F235" t="s">
        <v>29</v>
      </c>
      <c r="G235" t="s">
        <v>29</v>
      </c>
      <c r="H235" t="s">
        <v>24</v>
      </c>
      <c r="I235" t="s">
        <v>15</v>
      </c>
      <c r="J235">
        <v>19</v>
      </c>
      <c r="K235">
        <v>3050</v>
      </c>
      <c r="L235">
        <v>57950</v>
      </c>
      <c r="M235">
        <v>45032.22</v>
      </c>
      <c r="N235">
        <v>12917.78</v>
      </c>
      <c r="O235" t="str">
        <f>TEXT(Table1[[#This Row],[Order_Date]],"yyy")</f>
        <v>2025</v>
      </c>
    </row>
    <row r="236" spans="1:15" x14ac:dyDescent="0.3">
      <c r="A236" t="s">
        <v>286</v>
      </c>
      <c r="B236" s="1">
        <v>45506</v>
      </c>
      <c r="C236" t="s">
        <v>17</v>
      </c>
      <c r="D236" t="s">
        <v>16</v>
      </c>
      <c r="E236" t="s">
        <v>4</v>
      </c>
      <c r="F236" t="s">
        <v>32</v>
      </c>
      <c r="G236" t="s">
        <v>32</v>
      </c>
      <c r="H236" t="s">
        <v>35</v>
      </c>
      <c r="I236" t="s">
        <v>8</v>
      </c>
      <c r="J236">
        <v>12</v>
      </c>
      <c r="K236">
        <v>2061</v>
      </c>
      <c r="L236">
        <v>24732</v>
      </c>
      <c r="M236">
        <v>17547.310000000001</v>
      </c>
      <c r="N236">
        <v>7184.69</v>
      </c>
      <c r="O236" t="str">
        <f>TEXT(Table1[[#This Row],[Order_Date]],"yyy")</f>
        <v>2024</v>
      </c>
    </row>
    <row r="237" spans="1:15" x14ac:dyDescent="0.3">
      <c r="A237" t="s">
        <v>287</v>
      </c>
      <c r="B237" s="1">
        <v>45972</v>
      </c>
      <c r="C237" t="s">
        <v>17</v>
      </c>
      <c r="D237" t="s">
        <v>25</v>
      </c>
      <c r="E237" t="s">
        <v>11</v>
      </c>
      <c r="F237" t="s">
        <v>6</v>
      </c>
      <c r="G237" t="s">
        <v>6</v>
      </c>
      <c r="H237" t="s">
        <v>35</v>
      </c>
      <c r="I237" t="s">
        <v>15</v>
      </c>
      <c r="J237">
        <v>9</v>
      </c>
      <c r="K237">
        <v>2151</v>
      </c>
      <c r="L237">
        <v>19359</v>
      </c>
      <c r="M237">
        <v>16177.52</v>
      </c>
      <c r="N237">
        <v>3181.48</v>
      </c>
      <c r="O237" t="str">
        <f>TEXT(Table1[[#This Row],[Order_Date]],"yyy")</f>
        <v>2025</v>
      </c>
    </row>
    <row r="238" spans="1:15" x14ac:dyDescent="0.3">
      <c r="A238" t="s">
        <v>288</v>
      </c>
      <c r="B238" s="1">
        <v>45687</v>
      </c>
      <c r="C238" t="s">
        <v>3</v>
      </c>
      <c r="D238" t="s">
        <v>25</v>
      </c>
      <c r="E238" t="s">
        <v>4</v>
      </c>
      <c r="F238" t="s">
        <v>32</v>
      </c>
      <c r="G238" t="s">
        <v>32</v>
      </c>
      <c r="H238" t="s">
        <v>35</v>
      </c>
      <c r="I238" t="s">
        <v>15</v>
      </c>
      <c r="J238">
        <v>2</v>
      </c>
      <c r="K238">
        <v>3823</v>
      </c>
      <c r="L238">
        <v>7646</v>
      </c>
      <c r="M238">
        <v>5692.82</v>
      </c>
      <c r="N238">
        <v>1953.18</v>
      </c>
      <c r="O238" t="str">
        <f>TEXT(Table1[[#This Row],[Order_Date]],"yyy")</f>
        <v>2025</v>
      </c>
    </row>
    <row r="239" spans="1:15" x14ac:dyDescent="0.3">
      <c r="A239" t="s">
        <v>289</v>
      </c>
      <c r="B239" s="1">
        <v>45633</v>
      </c>
      <c r="C239" t="s">
        <v>3</v>
      </c>
      <c r="D239" t="s">
        <v>25</v>
      </c>
      <c r="E239" t="s">
        <v>4</v>
      </c>
      <c r="F239" t="s">
        <v>36</v>
      </c>
      <c r="G239" t="s">
        <v>36</v>
      </c>
      <c r="H239" t="s">
        <v>30</v>
      </c>
      <c r="I239" t="s">
        <v>8</v>
      </c>
      <c r="J239">
        <v>17</v>
      </c>
      <c r="K239">
        <v>2943</v>
      </c>
      <c r="L239">
        <v>50031</v>
      </c>
      <c r="M239">
        <v>34818.06</v>
      </c>
      <c r="N239">
        <v>15212.94</v>
      </c>
      <c r="O239" t="str">
        <f>TEXT(Table1[[#This Row],[Order_Date]],"yyy")</f>
        <v>2024</v>
      </c>
    </row>
    <row r="240" spans="1:15" x14ac:dyDescent="0.3">
      <c r="A240" t="s">
        <v>290</v>
      </c>
      <c r="B240" s="1">
        <v>45801</v>
      </c>
      <c r="C240" t="s">
        <v>10</v>
      </c>
      <c r="D240" t="s">
        <v>28</v>
      </c>
      <c r="E240" t="s">
        <v>4</v>
      </c>
      <c r="F240" t="s">
        <v>23</v>
      </c>
      <c r="G240" t="s">
        <v>23</v>
      </c>
      <c r="H240" t="s">
        <v>14</v>
      </c>
      <c r="I240" t="s">
        <v>15</v>
      </c>
      <c r="J240">
        <v>20</v>
      </c>
      <c r="K240">
        <v>775</v>
      </c>
      <c r="L240">
        <v>15500</v>
      </c>
      <c r="M240">
        <v>12602.47</v>
      </c>
      <c r="N240">
        <v>2897.53</v>
      </c>
      <c r="O240" t="str">
        <f>TEXT(Table1[[#This Row],[Order_Date]],"yyy")</f>
        <v>2025</v>
      </c>
    </row>
    <row r="241" spans="1:15" x14ac:dyDescent="0.3">
      <c r="A241" t="s">
        <v>291</v>
      </c>
      <c r="B241" s="1">
        <v>45445</v>
      </c>
      <c r="C241" t="s">
        <v>3</v>
      </c>
      <c r="D241" t="s">
        <v>28</v>
      </c>
      <c r="E241" t="s">
        <v>4</v>
      </c>
      <c r="F241" t="s">
        <v>23</v>
      </c>
      <c r="G241" t="s">
        <v>23</v>
      </c>
      <c r="H241" t="s">
        <v>7</v>
      </c>
      <c r="I241" t="s">
        <v>15</v>
      </c>
      <c r="J241">
        <v>19</v>
      </c>
      <c r="K241">
        <v>2815</v>
      </c>
      <c r="L241">
        <v>53485</v>
      </c>
      <c r="M241">
        <v>30121.82</v>
      </c>
      <c r="N241">
        <v>23363.18</v>
      </c>
      <c r="O241" t="str">
        <f>TEXT(Table1[[#This Row],[Order_Date]],"yyy")</f>
        <v>2024</v>
      </c>
    </row>
    <row r="242" spans="1:15" x14ac:dyDescent="0.3">
      <c r="A242" t="s">
        <v>292</v>
      </c>
      <c r="B242" s="1">
        <v>45825</v>
      </c>
      <c r="C242" t="s">
        <v>3</v>
      </c>
      <c r="D242" t="s">
        <v>28</v>
      </c>
      <c r="E242" t="s">
        <v>4</v>
      </c>
      <c r="F242" t="s">
        <v>23</v>
      </c>
      <c r="G242" t="s">
        <v>23</v>
      </c>
      <c r="H242" t="s">
        <v>27</v>
      </c>
      <c r="I242" t="s">
        <v>15</v>
      </c>
      <c r="J242">
        <v>15</v>
      </c>
      <c r="K242">
        <v>4824</v>
      </c>
      <c r="L242">
        <v>72360</v>
      </c>
      <c r="M242">
        <v>58680.31</v>
      </c>
      <c r="N242">
        <v>13679.69</v>
      </c>
      <c r="O242" t="str">
        <f>TEXT(Table1[[#This Row],[Order_Date]],"yyy")</f>
        <v>2025</v>
      </c>
    </row>
    <row r="243" spans="1:15" x14ac:dyDescent="0.3">
      <c r="A243" t="s">
        <v>293</v>
      </c>
      <c r="B243" s="1">
        <v>46002</v>
      </c>
      <c r="C243" t="s">
        <v>3</v>
      </c>
      <c r="D243" t="s">
        <v>9</v>
      </c>
      <c r="E243" t="s">
        <v>11</v>
      </c>
      <c r="F243" t="s">
        <v>19</v>
      </c>
      <c r="G243" t="s">
        <v>19</v>
      </c>
      <c r="H243" t="s">
        <v>7</v>
      </c>
      <c r="I243" t="s">
        <v>15</v>
      </c>
      <c r="J243">
        <v>4</v>
      </c>
      <c r="K243">
        <v>3076</v>
      </c>
      <c r="L243">
        <v>12304</v>
      </c>
      <c r="M243">
        <v>8072.01</v>
      </c>
      <c r="N243">
        <v>4231.99</v>
      </c>
      <c r="O243" t="str">
        <f>TEXT(Table1[[#This Row],[Order_Date]],"yyy")</f>
        <v>2025</v>
      </c>
    </row>
    <row r="244" spans="1:15" x14ac:dyDescent="0.3">
      <c r="A244" t="s">
        <v>294</v>
      </c>
      <c r="B244" s="1">
        <v>45343</v>
      </c>
      <c r="C244" t="s">
        <v>22</v>
      </c>
      <c r="D244" t="s">
        <v>21</v>
      </c>
      <c r="E244" t="s">
        <v>11</v>
      </c>
      <c r="F244" t="s">
        <v>19</v>
      </c>
      <c r="G244" t="s">
        <v>19</v>
      </c>
      <c r="H244" t="s">
        <v>30</v>
      </c>
      <c r="I244" t="s">
        <v>15</v>
      </c>
      <c r="J244">
        <v>3</v>
      </c>
      <c r="K244">
        <v>4384</v>
      </c>
      <c r="L244">
        <v>13152</v>
      </c>
      <c r="M244">
        <v>9539.99</v>
      </c>
      <c r="N244">
        <v>3612.01</v>
      </c>
      <c r="O244" t="str">
        <f>TEXT(Table1[[#This Row],[Order_Date]],"yyy")</f>
        <v>2024</v>
      </c>
    </row>
    <row r="245" spans="1:15" x14ac:dyDescent="0.3">
      <c r="A245" t="s">
        <v>295</v>
      </c>
      <c r="B245" s="1">
        <v>45658</v>
      </c>
      <c r="C245" t="s">
        <v>22</v>
      </c>
      <c r="D245" t="s">
        <v>16</v>
      </c>
      <c r="E245" t="s">
        <v>11</v>
      </c>
      <c r="F245" t="s">
        <v>13</v>
      </c>
      <c r="G245" t="s">
        <v>13</v>
      </c>
      <c r="H245" t="s">
        <v>14</v>
      </c>
      <c r="I245" t="s">
        <v>15</v>
      </c>
      <c r="J245">
        <v>15</v>
      </c>
      <c r="K245">
        <v>3591</v>
      </c>
      <c r="L245">
        <v>53865</v>
      </c>
      <c r="M245">
        <v>34086.89</v>
      </c>
      <c r="N245">
        <v>19778.11</v>
      </c>
      <c r="O245" t="str">
        <f>TEXT(Table1[[#This Row],[Order_Date]],"yyy")</f>
        <v>2025</v>
      </c>
    </row>
    <row r="246" spans="1:15" x14ac:dyDescent="0.3">
      <c r="A246" t="s">
        <v>296</v>
      </c>
      <c r="B246" s="1">
        <v>45973</v>
      </c>
      <c r="C246" t="s">
        <v>22</v>
      </c>
      <c r="D246" t="s">
        <v>21</v>
      </c>
      <c r="E246" t="s">
        <v>4</v>
      </c>
      <c r="F246" t="s">
        <v>23</v>
      </c>
      <c r="G246" t="s">
        <v>23</v>
      </c>
      <c r="H246" t="s">
        <v>20</v>
      </c>
      <c r="I246" t="s">
        <v>8</v>
      </c>
      <c r="J246">
        <v>7</v>
      </c>
      <c r="K246">
        <v>2258</v>
      </c>
      <c r="L246">
        <v>15806</v>
      </c>
      <c r="M246">
        <v>9260.34</v>
      </c>
      <c r="N246">
        <v>6545.66</v>
      </c>
      <c r="O246" t="str">
        <f>TEXT(Table1[[#This Row],[Order_Date]],"yyy")</f>
        <v>2025</v>
      </c>
    </row>
    <row r="247" spans="1:15" x14ac:dyDescent="0.3">
      <c r="A247" t="s">
        <v>297</v>
      </c>
      <c r="B247" s="1">
        <v>45333</v>
      </c>
      <c r="C247" t="s">
        <v>3</v>
      </c>
      <c r="D247" t="s">
        <v>25</v>
      </c>
      <c r="E247" t="s">
        <v>11</v>
      </c>
      <c r="F247" t="s">
        <v>6</v>
      </c>
      <c r="G247" t="s">
        <v>6</v>
      </c>
      <c r="H247" t="s">
        <v>20</v>
      </c>
      <c r="I247" t="s">
        <v>15</v>
      </c>
      <c r="J247">
        <v>15</v>
      </c>
      <c r="K247">
        <v>326</v>
      </c>
      <c r="L247">
        <v>4890</v>
      </c>
      <c r="M247">
        <v>3645.89</v>
      </c>
      <c r="N247">
        <v>1244.1099999999999</v>
      </c>
      <c r="O247" t="str">
        <f>TEXT(Table1[[#This Row],[Order_Date]],"yyy")</f>
        <v>2024</v>
      </c>
    </row>
    <row r="248" spans="1:15" x14ac:dyDescent="0.3">
      <c r="A248" t="s">
        <v>298</v>
      </c>
      <c r="B248" s="1">
        <v>45857</v>
      </c>
      <c r="C248" t="s">
        <v>3</v>
      </c>
      <c r="D248" t="s">
        <v>25</v>
      </c>
      <c r="E248" t="s">
        <v>18</v>
      </c>
      <c r="F248" t="s">
        <v>29</v>
      </c>
      <c r="G248" t="s">
        <v>29</v>
      </c>
      <c r="H248" t="s">
        <v>35</v>
      </c>
      <c r="I248" t="s">
        <v>8</v>
      </c>
      <c r="J248">
        <v>6</v>
      </c>
      <c r="K248">
        <v>2309</v>
      </c>
      <c r="L248">
        <v>13854</v>
      </c>
      <c r="M248">
        <v>9149.57</v>
      </c>
      <c r="N248">
        <v>4704.43</v>
      </c>
      <c r="O248" t="str">
        <f>TEXT(Table1[[#This Row],[Order_Date]],"yyy")</f>
        <v>2025</v>
      </c>
    </row>
    <row r="249" spans="1:15" x14ac:dyDescent="0.3">
      <c r="A249" t="s">
        <v>299</v>
      </c>
      <c r="B249" s="1">
        <v>45909</v>
      </c>
      <c r="C249" t="s">
        <v>3</v>
      </c>
      <c r="D249" t="s">
        <v>25</v>
      </c>
      <c r="E249" t="s">
        <v>4</v>
      </c>
      <c r="F249" t="s">
        <v>32</v>
      </c>
      <c r="G249" t="s">
        <v>32</v>
      </c>
      <c r="H249" t="s">
        <v>27</v>
      </c>
      <c r="I249" t="s">
        <v>8</v>
      </c>
      <c r="J249">
        <v>17</v>
      </c>
      <c r="K249">
        <v>2921</v>
      </c>
      <c r="L249">
        <v>49657</v>
      </c>
      <c r="M249">
        <v>27755.15</v>
      </c>
      <c r="N249">
        <v>21901.85</v>
      </c>
      <c r="O249" t="str">
        <f>TEXT(Table1[[#This Row],[Order_Date]],"yyy")</f>
        <v>2025</v>
      </c>
    </row>
    <row r="250" spans="1:15" x14ac:dyDescent="0.3">
      <c r="A250" t="s">
        <v>300</v>
      </c>
      <c r="B250" s="1">
        <v>45734</v>
      </c>
      <c r="C250" t="s">
        <v>22</v>
      </c>
      <c r="D250" t="s">
        <v>25</v>
      </c>
      <c r="E250" t="s">
        <v>18</v>
      </c>
      <c r="F250" t="s">
        <v>26</v>
      </c>
      <c r="G250" t="s">
        <v>26</v>
      </c>
      <c r="H250" t="s">
        <v>24</v>
      </c>
      <c r="I250" t="s">
        <v>15</v>
      </c>
      <c r="J250">
        <v>18</v>
      </c>
      <c r="K250">
        <v>693</v>
      </c>
      <c r="L250">
        <v>12474</v>
      </c>
      <c r="M250">
        <v>8866.3700000000008</v>
      </c>
      <c r="N250">
        <v>3607.63</v>
      </c>
      <c r="O250" t="str">
        <f>TEXT(Table1[[#This Row],[Order_Date]],"yyy")</f>
        <v>2025</v>
      </c>
    </row>
    <row r="251" spans="1:15" x14ac:dyDescent="0.3">
      <c r="A251" t="s">
        <v>301</v>
      </c>
      <c r="B251" s="1">
        <v>45311</v>
      </c>
      <c r="C251" t="s">
        <v>22</v>
      </c>
      <c r="D251" t="s">
        <v>25</v>
      </c>
      <c r="E251" t="s">
        <v>11</v>
      </c>
      <c r="F251" t="s">
        <v>13</v>
      </c>
      <c r="G251" t="s">
        <v>13</v>
      </c>
      <c r="H251" t="s">
        <v>14</v>
      </c>
      <c r="I251" t="s">
        <v>8</v>
      </c>
      <c r="J251">
        <v>15</v>
      </c>
      <c r="K251">
        <v>679</v>
      </c>
      <c r="L251">
        <v>10185</v>
      </c>
      <c r="M251">
        <v>5825.07</v>
      </c>
      <c r="N251">
        <v>4359.93</v>
      </c>
      <c r="O251" t="str">
        <f>TEXT(Table1[[#This Row],[Order_Date]],"yyy")</f>
        <v>2024</v>
      </c>
    </row>
    <row r="252" spans="1:15" x14ac:dyDescent="0.3">
      <c r="A252" t="s">
        <v>302</v>
      </c>
      <c r="B252" s="1">
        <v>45677</v>
      </c>
      <c r="C252" t="s">
        <v>17</v>
      </c>
      <c r="D252" t="s">
        <v>25</v>
      </c>
      <c r="E252" t="s">
        <v>11</v>
      </c>
      <c r="F252" t="s">
        <v>19</v>
      </c>
      <c r="G252" t="s">
        <v>19</v>
      </c>
      <c r="H252" t="s">
        <v>14</v>
      </c>
      <c r="I252" t="s">
        <v>15</v>
      </c>
      <c r="J252">
        <v>9</v>
      </c>
      <c r="K252">
        <v>3496</v>
      </c>
      <c r="L252">
        <v>31464</v>
      </c>
      <c r="M252">
        <v>22803.7</v>
      </c>
      <c r="N252">
        <v>8660.2999999999993</v>
      </c>
      <c r="O252" t="str">
        <f>TEXT(Table1[[#This Row],[Order_Date]],"yyy")</f>
        <v>2025</v>
      </c>
    </row>
    <row r="253" spans="1:15" x14ac:dyDescent="0.3">
      <c r="A253" t="s">
        <v>303</v>
      </c>
      <c r="B253" s="1">
        <v>45315</v>
      </c>
      <c r="C253" t="s">
        <v>17</v>
      </c>
      <c r="D253" t="s">
        <v>16</v>
      </c>
      <c r="E253" t="s">
        <v>18</v>
      </c>
      <c r="F253" t="s">
        <v>29</v>
      </c>
      <c r="G253" t="s">
        <v>29</v>
      </c>
      <c r="H253" t="s">
        <v>27</v>
      </c>
      <c r="I253" t="s">
        <v>15</v>
      </c>
      <c r="J253">
        <v>18</v>
      </c>
      <c r="K253">
        <v>2884</v>
      </c>
      <c r="L253">
        <v>51912</v>
      </c>
      <c r="M253">
        <v>36966.910000000003</v>
      </c>
      <c r="N253">
        <v>14945.09</v>
      </c>
      <c r="O253" t="str">
        <f>TEXT(Table1[[#This Row],[Order_Date]],"yyy")</f>
        <v>2024</v>
      </c>
    </row>
    <row r="254" spans="1:15" x14ac:dyDescent="0.3">
      <c r="A254" t="s">
        <v>304</v>
      </c>
      <c r="B254" s="1">
        <v>45862</v>
      </c>
      <c r="C254" t="s">
        <v>3</v>
      </c>
      <c r="D254" t="s">
        <v>31</v>
      </c>
      <c r="E254" t="s">
        <v>18</v>
      </c>
      <c r="F254" t="s">
        <v>26</v>
      </c>
      <c r="G254" t="s">
        <v>26</v>
      </c>
      <c r="H254" t="s">
        <v>30</v>
      </c>
      <c r="I254" t="s">
        <v>15</v>
      </c>
      <c r="J254">
        <v>7</v>
      </c>
      <c r="K254">
        <v>3309</v>
      </c>
      <c r="L254">
        <v>23163</v>
      </c>
      <c r="M254">
        <v>15487.84</v>
      </c>
      <c r="N254">
        <v>7675.16</v>
      </c>
      <c r="O254" t="str">
        <f>TEXT(Table1[[#This Row],[Order_Date]],"yyy")</f>
        <v>2025</v>
      </c>
    </row>
    <row r="255" spans="1:15" x14ac:dyDescent="0.3">
      <c r="A255" t="s">
        <v>305</v>
      </c>
      <c r="B255" s="1">
        <v>45438</v>
      </c>
      <c r="C255" t="s">
        <v>17</v>
      </c>
      <c r="D255" t="s">
        <v>25</v>
      </c>
      <c r="E255" t="s">
        <v>4</v>
      </c>
      <c r="F255" t="s">
        <v>36</v>
      </c>
      <c r="G255" t="s">
        <v>36</v>
      </c>
      <c r="H255" t="s">
        <v>14</v>
      </c>
      <c r="I255" t="s">
        <v>15</v>
      </c>
      <c r="J255">
        <v>3</v>
      </c>
      <c r="K255">
        <v>4785</v>
      </c>
      <c r="L255">
        <v>14355</v>
      </c>
      <c r="M255">
        <v>8265.43</v>
      </c>
      <c r="N255">
        <v>6089.57</v>
      </c>
      <c r="O255" t="str">
        <f>TEXT(Table1[[#This Row],[Order_Date]],"yyy")</f>
        <v>2024</v>
      </c>
    </row>
    <row r="256" spans="1:15" x14ac:dyDescent="0.3">
      <c r="A256" t="s">
        <v>306</v>
      </c>
      <c r="B256" s="1">
        <v>45442</v>
      </c>
      <c r="C256" t="s">
        <v>3</v>
      </c>
      <c r="D256" t="s">
        <v>31</v>
      </c>
      <c r="E256" t="s">
        <v>18</v>
      </c>
      <c r="F256" t="s">
        <v>34</v>
      </c>
      <c r="G256" t="s">
        <v>34</v>
      </c>
      <c r="H256" t="s">
        <v>30</v>
      </c>
      <c r="I256" t="s">
        <v>8</v>
      </c>
      <c r="J256">
        <v>12</v>
      </c>
      <c r="K256">
        <v>3329</v>
      </c>
      <c r="L256">
        <v>39948</v>
      </c>
      <c r="M256">
        <v>27871.18</v>
      </c>
      <c r="N256">
        <v>12076.82</v>
      </c>
      <c r="O256" t="str">
        <f>TEXT(Table1[[#This Row],[Order_Date]],"yyy")</f>
        <v>2024</v>
      </c>
    </row>
    <row r="257" spans="1:15" x14ac:dyDescent="0.3">
      <c r="A257" t="s">
        <v>307</v>
      </c>
      <c r="B257" s="1">
        <v>45355</v>
      </c>
      <c r="C257" t="s">
        <v>3</v>
      </c>
      <c r="D257" t="s">
        <v>9</v>
      </c>
      <c r="E257" t="s">
        <v>11</v>
      </c>
      <c r="F257" t="s">
        <v>19</v>
      </c>
      <c r="G257" t="s">
        <v>19</v>
      </c>
      <c r="H257" t="s">
        <v>33</v>
      </c>
      <c r="I257" t="s">
        <v>15</v>
      </c>
      <c r="J257">
        <v>6</v>
      </c>
      <c r="K257">
        <v>3959</v>
      </c>
      <c r="L257">
        <v>23754</v>
      </c>
      <c r="M257">
        <v>16134.75</v>
      </c>
      <c r="N257">
        <v>7619.25</v>
      </c>
      <c r="O257" t="str">
        <f>TEXT(Table1[[#This Row],[Order_Date]],"yyy")</f>
        <v>2024</v>
      </c>
    </row>
    <row r="258" spans="1:15" x14ac:dyDescent="0.3">
      <c r="A258" t="s">
        <v>308</v>
      </c>
      <c r="B258" s="1">
        <v>45508</v>
      </c>
      <c r="C258" t="s">
        <v>3</v>
      </c>
      <c r="D258" t="s">
        <v>16</v>
      </c>
      <c r="E258" t="s">
        <v>4</v>
      </c>
      <c r="F258" t="s">
        <v>32</v>
      </c>
      <c r="G258" t="s">
        <v>32</v>
      </c>
      <c r="H258" t="s">
        <v>33</v>
      </c>
      <c r="I258" t="s">
        <v>8</v>
      </c>
      <c r="J258">
        <v>11</v>
      </c>
      <c r="K258">
        <v>2199</v>
      </c>
      <c r="L258">
        <v>24189</v>
      </c>
      <c r="M258">
        <v>15392.93</v>
      </c>
      <c r="N258">
        <v>8796.07</v>
      </c>
      <c r="O258" t="str">
        <f>TEXT(Table1[[#This Row],[Order_Date]],"yyy")</f>
        <v>2024</v>
      </c>
    </row>
    <row r="259" spans="1:15" x14ac:dyDescent="0.3">
      <c r="A259" t="s">
        <v>309</v>
      </c>
      <c r="B259" s="1">
        <v>45337</v>
      </c>
      <c r="C259" t="s">
        <v>22</v>
      </c>
      <c r="D259" t="s">
        <v>9</v>
      </c>
      <c r="E259" t="s">
        <v>11</v>
      </c>
      <c r="F259" t="s">
        <v>6</v>
      </c>
      <c r="G259" t="s">
        <v>6</v>
      </c>
      <c r="H259" t="s">
        <v>30</v>
      </c>
      <c r="I259" t="s">
        <v>15</v>
      </c>
      <c r="J259">
        <v>12</v>
      </c>
      <c r="K259">
        <v>3042</v>
      </c>
      <c r="L259">
        <v>36504</v>
      </c>
      <c r="M259">
        <v>30982</v>
      </c>
      <c r="N259">
        <v>5522</v>
      </c>
      <c r="O259" t="str">
        <f>TEXT(Table1[[#This Row],[Order_Date]],"yyy")</f>
        <v>2024</v>
      </c>
    </row>
    <row r="260" spans="1:15" x14ac:dyDescent="0.3">
      <c r="A260" t="s">
        <v>310</v>
      </c>
      <c r="B260" s="1">
        <v>45815</v>
      </c>
      <c r="C260" t="s">
        <v>17</v>
      </c>
      <c r="D260" t="s">
        <v>28</v>
      </c>
      <c r="E260" t="s">
        <v>11</v>
      </c>
      <c r="F260" t="s">
        <v>6</v>
      </c>
      <c r="G260" t="s">
        <v>6</v>
      </c>
      <c r="H260" t="s">
        <v>20</v>
      </c>
      <c r="I260" t="s">
        <v>15</v>
      </c>
      <c r="J260">
        <v>9</v>
      </c>
      <c r="K260">
        <v>1625</v>
      </c>
      <c r="L260">
        <v>14625</v>
      </c>
      <c r="M260">
        <v>12059.42</v>
      </c>
      <c r="N260">
        <v>2565.58</v>
      </c>
      <c r="O260" t="str">
        <f>TEXT(Table1[[#This Row],[Order_Date]],"yyy")</f>
        <v>2025</v>
      </c>
    </row>
    <row r="261" spans="1:15" x14ac:dyDescent="0.3">
      <c r="A261" t="s">
        <v>311</v>
      </c>
      <c r="B261" s="1">
        <v>45822</v>
      </c>
      <c r="C261" t="s">
        <v>22</v>
      </c>
      <c r="D261" t="s">
        <v>28</v>
      </c>
      <c r="E261" t="s">
        <v>11</v>
      </c>
      <c r="F261" t="s">
        <v>13</v>
      </c>
      <c r="G261" t="s">
        <v>13</v>
      </c>
      <c r="H261" t="s">
        <v>27</v>
      </c>
      <c r="I261" t="s">
        <v>8</v>
      </c>
      <c r="J261">
        <v>2</v>
      </c>
      <c r="K261">
        <v>1913</v>
      </c>
      <c r="L261">
        <v>3826</v>
      </c>
      <c r="M261">
        <v>2542.83</v>
      </c>
      <c r="N261">
        <v>1283.17</v>
      </c>
      <c r="O261" t="str">
        <f>TEXT(Table1[[#This Row],[Order_Date]],"yyy")</f>
        <v>2025</v>
      </c>
    </row>
    <row r="262" spans="1:15" x14ac:dyDescent="0.3">
      <c r="A262" t="s">
        <v>312</v>
      </c>
      <c r="B262" s="1">
        <v>46015</v>
      </c>
      <c r="C262" t="s">
        <v>22</v>
      </c>
      <c r="D262" t="s">
        <v>25</v>
      </c>
      <c r="E262" t="s">
        <v>4</v>
      </c>
      <c r="F262" t="s">
        <v>32</v>
      </c>
      <c r="G262" t="s">
        <v>32</v>
      </c>
      <c r="H262" t="s">
        <v>20</v>
      </c>
      <c r="I262" t="s">
        <v>8</v>
      </c>
      <c r="J262">
        <v>20</v>
      </c>
      <c r="K262">
        <v>1664</v>
      </c>
      <c r="L262">
        <v>33280</v>
      </c>
      <c r="M262">
        <v>20301.759999999998</v>
      </c>
      <c r="N262">
        <v>12978.24</v>
      </c>
      <c r="O262" t="str">
        <f>TEXT(Table1[[#This Row],[Order_Date]],"yyy")</f>
        <v>2025</v>
      </c>
    </row>
    <row r="263" spans="1:15" x14ac:dyDescent="0.3">
      <c r="A263" t="s">
        <v>313</v>
      </c>
      <c r="B263" s="1">
        <v>45517</v>
      </c>
      <c r="C263" t="s">
        <v>3</v>
      </c>
      <c r="D263" t="s">
        <v>31</v>
      </c>
      <c r="E263" t="s">
        <v>18</v>
      </c>
      <c r="F263" t="s">
        <v>26</v>
      </c>
      <c r="G263" t="s">
        <v>26</v>
      </c>
      <c r="H263" t="s">
        <v>27</v>
      </c>
      <c r="I263" t="s">
        <v>8</v>
      </c>
      <c r="J263">
        <v>10</v>
      </c>
      <c r="K263">
        <v>297</v>
      </c>
      <c r="L263">
        <v>2970</v>
      </c>
      <c r="M263">
        <v>2015.66</v>
      </c>
      <c r="N263">
        <v>954.34</v>
      </c>
      <c r="O263" t="str">
        <f>TEXT(Table1[[#This Row],[Order_Date]],"yyy")</f>
        <v>2024</v>
      </c>
    </row>
    <row r="264" spans="1:15" x14ac:dyDescent="0.3">
      <c r="A264" t="s">
        <v>314</v>
      </c>
      <c r="B264" s="1">
        <v>45340</v>
      </c>
      <c r="C264" t="s">
        <v>10</v>
      </c>
      <c r="D264" t="s">
        <v>9</v>
      </c>
      <c r="E264" t="s">
        <v>11</v>
      </c>
      <c r="F264" t="s">
        <v>13</v>
      </c>
      <c r="G264" t="s">
        <v>13</v>
      </c>
      <c r="H264" t="s">
        <v>33</v>
      </c>
      <c r="I264" t="s">
        <v>8</v>
      </c>
      <c r="J264">
        <v>9</v>
      </c>
      <c r="K264">
        <v>773</v>
      </c>
      <c r="L264">
        <v>6957</v>
      </c>
      <c r="M264">
        <v>4105.01</v>
      </c>
      <c r="N264">
        <v>2851.99</v>
      </c>
      <c r="O264" t="str">
        <f>TEXT(Table1[[#This Row],[Order_Date]],"yyy")</f>
        <v>2024</v>
      </c>
    </row>
    <row r="265" spans="1:15" x14ac:dyDescent="0.3">
      <c r="A265" t="s">
        <v>315</v>
      </c>
      <c r="B265" s="1">
        <v>45706</v>
      </c>
      <c r="C265" t="s">
        <v>10</v>
      </c>
      <c r="D265" t="s">
        <v>16</v>
      </c>
      <c r="E265" t="s">
        <v>18</v>
      </c>
      <c r="F265" t="s">
        <v>26</v>
      </c>
      <c r="G265" t="s">
        <v>26</v>
      </c>
      <c r="H265" t="s">
        <v>14</v>
      </c>
      <c r="I265" t="s">
        <v>8</v>
      </c>
      <c r="J265">
        <v>4</v>
      </c>
      <c r="K265">
        <v>3687</v>
      </c>
      <c r="L265">
        <v>14748</v>
      </c>
      <c r="M265">
        <v>9157.5300000000007</v>
      </c>
      <c r="N265">
        <v>5590.47</v>
      </c>
      <c r="O265" t="str">
        <f>TEXT(Table1[[#This Row],[Order_Date]],"yyy")</f>
        <v>2025</v>
      </c>
    </row>
    <row r="266" spans="1:15" x14ac:dyDescent="0.3">
      <c r="A266" t="s">
        <v>316</v>
      </c>
      <c r="B266" s="1">
        <v>45840</v>
      </c>
      <c r="C266" t="s">
        <v>10</v>
      </c>
      <c r="D266" t="s">
        <v>16</v>
      </c>
      <c r="E266" t="s">
        <v>18</v>
      </c>
      <c r="F266" t="s">
        <v>26</v>
      </c>
      <c r="G266" t="s">
        <v>26</v>
      </c>
      <c r="H266" t="s">
        <v>24</v>
      </c>
      <c r="I266" t="s">
        <v>8</v>
      </c>
      <c r="J266">
        <v>14</v>
      </c>
      <c r="K266">
        <v>742</v>
      </c>
      <c r="L266">
        <v>10388</v>
      </c>
      <c r="M266">
        <v>6760.72</v>
      </c>
      <c r="N266">
        <v>3627.28</v>
      </c>
      <c r="O266" t="str">
        <f>TEXT(Table1[[#This Row],[Order_Date]],"yyy")</f>
        <v>2025</v>
      </c>
    </row>
    <row r="267" spans="1:15" x14ac:dyDescent="0.3">
      <c r="A267" t="s">
        <v>317</v>
      </c>
      <c r="B267" s="1">
        <v>45512</v>
      </c>
      <c r="C267" t="s">
        <v>22</v>
      </c>
      <c r="D267" t="s">
        <v>9</v>
      </c>
      <c r="E267" t="s">
        <v>4</v>
      </c>
      <c r="F267" t="s">
        <v>32</v>
      </c>
      <c r="G267" t="s">
        <v>32</v>
      </c>
      <c r="H267" t="s">
        <v>20</v>
      </c>
      <c r="I267" t="s">
        <v>15</v>
      </c>
      <c r="J267">
        <v>15</v>
      </c>
      <c r="K267">
        <v>287</v>
      </c>
      <c r="L267">
        <v>4305</v>
      </c>
      <c r="M267">
        <v>2844.99</v>
      </c>
      <c r="N267">
        <v>1460.01</v>
      </c>
      <c r="O267" t="str">
        <f>TEXT(Table1[[#This Row],[Order_Date]],"yyy")</f>
        <v>2024</v>
      </c>
    </row>
    <row r="268" spans="1:15" x14ac:dyDescent="0.3">
      <c r="A268" t="s">
        <v>318</v>
      </c>
      <c r="B268" s="1">
        <v>45891</v>
      </c>
      <c r="C268" t="s">
        <v>17</v>
      </c>
      <c r="D268" t="s">
        <v>21</v>
      </c>
      <c r="E268" t="s">
        <v>11</v>
      </c>
      <c r="F268" t="s">
        <v>6</v>
      </c>
      <c r="G268" t="s">
        <v>6</v>
      </c>
      <c r="H268" t="s">
        <v>27</v>
      </c>
      <c r="I268" t="s">
        <v>8</v>
      </c>
      <c r="J268">
        <v>13</v>
      </c>
      <c r="K268">
        <v>800</v>
      </c>
      <c r="L268">
        <v>10400</v>
      </c>
      <c r="M268">
        <v>5924.55</v>
      </c>
      <c r="N268">
        <v>4475.45</v>
      </c>
      <c r="O268" t="str">
        <f>TEXT(Table1[[#This Row],[Order_Date]],"yyy")</f>
        <v>2025</v>
      </c>
    </row>
    <row r="269" spans="1:15" x14ac:dyDescent="0.3">
      <c r="A269" t="s">
        <v>319</v>
      </c>
      <c r="B269" s="1">
        <v>45798</v>
      </c>
      <c r="C269" t="s">
        <v>3</v>
      </c>
      <c r="D269" t="s">
        <v>28</v>
      </c>
      <c r="E269" t="s">
        <v>18</v>
      </c>
      <c r="F269" t="s">
        <v>29</v>
      </c>
      <c r="G269" t="s">
        <v>29</v>
      </c>
      <c r="H269" t="s">
        <v>20</v>
      </c>
      <c r="I269" t="s">
        <v>15</v>
      </c>
      <c r="J269">
        <v>9</v>
      </c>
      <c r="K269">
        <v>1248</v>
      </c>
      <c r="L269">
        <v>11232</v>
      </c>
      <c r="M269">
        <v>9074.02</v>
      </c>
      <c r="N269">
        <v>2157.98</v>
      </c>
      <c r="O269" t="str">
        <f>TEXT(Table1[[#This Row],[Order_Date]],"yyy")</f>
        <v>2025</v>
      </c>
    </row>
    <row r="270" spans="1:15" x14ac:dyDescent="0.3">
      <c r="A270" t="s">
        <v>320</v>
      </c>
      <c r="B270" s="1">
        <v>45389</v>
      </c>
      <c r="C270" t="s">
        <v>17</v>
      </c>
      <c r="D270" t="s">
        <v>25</v>
      </c>
      <c r="E270" t="s">
        <v>18</v>
      </c>
      <c r="F270" t="s">
        <v>26</v>
      </c>
      <c r="G270" t="s">
        <v>26</v>
      </c>
      <c r="H270" t="s">
        <v>35</v>
      </c>
      <c r="I270" t="s">
        <v>8</v>
      </c>
      <c r="J270">
        <v>18</v>
      </c>
      <c r="K270">
        <v>4018</v>
      </c>
      <c r="L270">
        <v>72324</v>
      </c>
      <c r="M270">
        <v>45830.09</v>
      </c>
      <c r="N270">
        <v>26493.91</v>
      </c>
      <c r="O270" t="str">
        <f>TEXT(Table1[[#This Row],[Order_Date]],"yyy")</f>
        <v>2024</v>
      </c>
    </row>
    <row r="271" spans="1:15" x14ac:dyDescent="0.3">
      <c r="A271" t="s">
        <v>321</v>
      </c>
      <c r="B271" s="1">
        <v>45717</v>
      </c>
      <c r="C271" t="s">
        <v>3</v>
      </c>
      <c r="D271" t="s">
        <v>31</v>
      </c>
      <c r="E271" t="s">
        <v>11</v>
      </c>
      <c r="F271" t="s">
        <v>6</v>
      </c>
      <c r="G271" t="s">
        <v>6</v>
      </c>
      <c r="H271" t="s">
        <v>30</v>
      </c>
      <c r="I271" t="s">
        <v>15</v>
      </c>
      <c r="J271">
        <v>5</v>
      </c>
      <c r="K271">
        <v>179</v>
      </c>
      <c r="L271">
        <v>895</v>
      </c>
      <c r="M271">
        <v>560.92999999999995</v>
      </c>
      <c r="N271">
        <v>334.07</v>
      </c>
      <c r="O271" t="str">
        <f>TEXT(Table1[[#This Row],[Order_Date]],"yyy")</f>
        <v>2025</v>
      </c>
    </row>
    <row r="272" spans="1:15" x14ac:dyDescent="0.3">
      <c r="A272" t="s">
        <v>322</v>
      </c>
      <c r="B272" s="1">
        <v>45545</v>
      </c>
      <c r="C272" t="s">
        <v>17</v>
      </c>
      <c r="D272" t="s">
        <v>31</v>
      </c>
      <c r="E272" t="s">
        <v>11</v>
      </c>
      <c r="F272" t="s">
        <v>6</v>
      </c>
      <c r="G272" t="s">
        <v>6</v>
      </c>
      <c r="H272" t="s">
        <v>30</v>
      </c>
      <c r="I272" t="s">
        <v>15</v>
      </c>
      <c r="J272">
        <v>15</v>
      </c>
      <c r="K272">
        <v>2670</v>
      </c>
      <c r="L272">
        <v>40050</v>
      </c>
      <c r="M272">
        <v>23918.07</v>
      </c>
      <c r="N272">
        <v>16131.93</v>
      </c>
      <c r="O272" t="str">
        <f>TEXT(Table1[[#This Row],[Order_Date]],"yyy")</f>
        <v>2024</v>
      </c>
    </row>
    <row r="273" spans="1:15" x14ac:dyDescent="0.3">
      <c r="A273" t="s">
        <v>323</v>
      </c>
      <c r="B273" s="1">
        <v>45528</v>
      </c>
      <c r="C273" t="s">
        <v>22</v>
      </c>
      <c r="D273" t="s">
        <v>9</v>
      </c>
      <c r="E273" t="s">
        <v>11</v>
      </c>
      <c r="F273" t="s">
        <v>6</v>
      </c>
      <c r="G273" t="s">
        <v>6</v>
      </c>
      <c r="H273" t="s">
        <v>30</v>
      </c>
      <c r="I273" t="s">
        <v>8</v>
      </c>
      <c r="J273">
        <v>12</v>
      </c>
      <c r="K273">
        <v>4463</v>
      </c>
      <c r="L273">
        <v>53556</v>
      </c>
      <c r="M273">
        <v>44462.67</v>
      </c>
      <c r="N273">
        <v>9093.33</v>
      </c>
      <c r="O273" t="str">
        <f>TEXT(Table1[[#This Row],[Order_Date]],"yyy")</f>
        <v>2024</v>
      </c>
    </row>
    <row r="274" spans="1:15" x14ac:dyDescent="0.3">
      <c r="A274" t="s">
        <v>324</v>
      </c>
      <c r="B274" s="1">
        <v>45960</v>
      </c>
      <c r="C274" t="s">
        <v>10</v>
      </c>
      <c r="D274" t="s">
        <v>21</v>
      </c>
      <c r="E274" t="s">
        <v>18</v>
      </c>
      <c r="F274" t="s">
        <v>29</v>
      </c>
      <c r="G274" t="s">
        <v>29</v>
      </c>
      <c r="H274" t="s">
        <v>7</v>
      </c>
      <c r="I274" t="s">
        <v>8</v>
      </c>
      <c r="J274">
        <v>7</v>
      </c>
      <c r="K274">
        <v>593</v>
      </c>
      <c r="L274">
        <v>4151</v>
      </c>
      <c r="M274">
        <v>2898.35</v>
      </c>
      <c r="N274">
        <v>1252.6500000000001</v>
      </c>
      <c r="O274" t="str">
        <f>TEXT(Table1[[#This Row],[Order_Date]],"yyy")</f>
        <v>2025</v>
      </c>
    </row>
    <row r="275" spans="1:15" x14ac:dyDescent="0.3">
      <c r="A275" t="s">
        <v>325</v>
      </c>
      <c r="B275" s="1">
        <v>45675</v>
      </c>
      <c r="C275" t="s">
        <v>17</v>
      </c>
      <c r="D275" t="s">
        <v>16</v>
      </c>
      <c r="E275" t="s">
        <v>11</v>
      </c>
      <c r="F275" t="s">
        <v>13</v>
      </c>
      <c r="G275" t="s">
        <v>13</v>
      </c>
      <c r="H275" t="s">
        <v>7</v>
      </c>
      <c r="I275" t="s">
        <v>15</v>
      </c>
      <c r="J275">
        <v>17</v>
      </c>
      <c r="K275">
        <v>644</v>
      </c>
      <c r="L275">
        <v>10948</v>
      </c>
      <c r="M275">
        <v>6194.63</v>
      </c>
      <c r="N275">
        <v>4753.37</v>
      </c>
      <c r="O275" t="str">
        <f>TEXT(Table1[[#This Row],[Order_Date]],"yyy")</f>
        <v>2025</v>
      </c>
    </row>
    <row r="276" spans="1:15" x14ac:dyDescent="0.3">
      <c r="A276" t="s">
        <v>326</v>
      </c>
      <c r="B276" s="1">
        <v>45644</v>
      </c>
      <c r="C276" t="s">
        <v>10</v>
      </c>
      <c r="D276" t="s">
        <v>28</v>
      </c>
      <c r="E276" t="s">
        <v>4</v>
      </c>
      <c r="F276" t="s">
        <v>23</v>
      </c>
      <c r="G276" t="s">
        <v>23</v>
      </c>
      <c r="H276" t="s">
        <v>24</v>
      </c>
      <c r="I276" t="s">
        <v>15</v>
      </c>
      <c r="J276">
        <v>18</v>
      </c>
      <c r="K276">
        <v>316</v>
      </c>
      <c r="L276">
        <v>5688</v>
      </c>
      <c r="M276">
        <v>3858.64</v>
      </c>
      <c r="N276">
        <v>1829.36</v>
      </c>
      <c r="O276" t="str">
        <f>TEXT(Table1[[#This Row],[Order_Date]],"yyy")</f>
        <v>2024</v>
      </c>
    </row>
    <row r="277" spans="1:15" x14ac:dyDescent="0.3">
      <c r="A277" t="s">
        <v>327</v>
      </c>
      <c r="B277" s="1">
        <v>45405</v>
      </c>
      <c r="C277" t="s">
        <v>10</v>
      </c>
      <c r="D277" t="s">
        <v>9</v>
      </c>
      <c r="E277" t="s">
        <v>4</v>
      </c>
      <c r="F277" t="s">
        <v>23</v>
      </c>
      <c r="G277" t="s">
        <v>23</v>
      </c>
      <c r="H277" t="s">
        <v>14</v>
      </c>
      <c r="I277" t="s">
        <v>15</v>
      </c>
      <c r="J277">
        <v>2</v>
      </c>
      <c r="K277">
        <v>703</v>
      </c>
      <c r="L277">
        <v>1406</v>
      </c>
      <c r="M277">
        <v>795.96</v>
      </c>
      <c r="N277">
        <v>610.04</v>
      </c>
      <c r="O277" t="str">
        <f>TEXT(Table1[[#This Row],[Order_Date]],"yyy")</f>
        <v>2024</v>
      </c>
    </row>
    <row r="278" spans="1:15" x14ac:dyDescent="0.3">
      <c r="A278" t="s">
        <v>328</v>
      </c>
      <c r="B278" s="1">
        <v>45593</v>
      </c>
      <c r="C278" t="s">
        <v>10</v>
      </c>
      <c r="D278" t="s">
        <v>25</v>
      </c>
      <c r="E278" t="s">
        <v>18</v>
      </c>
      <c r="F278" t="s">
        <v>26</v>
      </c>
      <c r="G278" t="s">
        <v>26</v>
      </c>
      <c r="H278" t="s">
        <v>20</v>
      </c>
      <c r="I278" t="s">
        <v>15</v>
      </c>
      <c r="J278">
        <v>14</v>
      </c>
      <c r="K278">
        <v>773</v>
      </c>
      <c r="L278">
        <v>10822</v>
      </c>
      <c r="M278">
        <v>7263.9</v>
      </c>
      <c r="N278">
        <v>3558.1</v>
      </c>
      <c r="O278" t="str">
        <f>TEXT(Table1[[#This Row],[Order_Date]],"yyy")</f>
        <v>2024</v>
      </c>
    </row>
    <row r="279" spans="1:15" x14ac:dyDescent="0.3">
      <c r="A279" t="s">
        <v>329</v>
      </c>
      <c r="B279" s="1">
        <v>45864</v>
      </c>
      <c r="C279" t="s">
        <v>3</v>
      </c>
      <c r="D279" t="s">
        <v>9</v>
      </c>
      <c r="E279" t="s">
        <v>11</v>
      </c>
      <c r="F279" t="s">
        <v>13</v>
      </c>
      <c r="G279" t="s">
        <v>13</v>
      </c>
      <c r="H279" t="s">
        <v>33</v>
      </c>
      <c r="I279" t="s">
        <v>8</v>
      </c>
      <c r="J279">
        <v>19</v>
      </c>
      <c r="K279">
        <v>2832</v>
      </c>
      <c r="L279">
        <v>53808</v>
      </c>
      <c r="M279">
        <v>32121.06</v>
      </c>
      <c r="N279">
        <v>21686.94</v>
      </c>
      <c r="O279" t="str">
        <f>TEXT(Table1[[#This Row],[Order_Date]],"yyy")</f>
        <v>2025</v>
      </c>
    </row>
    <row r="280" spans="1:15" x14ac:dyDescent="0.3">
      <c r="A280" t="s">
        <v>330</v>
      </c>
      <c r="B280" s="1">
        <v>45567</v>
      </c>
      <c r="C280" t="s">
        <v>22</v>
      </c>
      <c r="D280" t="s">
        <v>28</v>
      </c>
      <c r="E280" t="s">
        <v>4</v>
      </c>
      <c r="F280" t="s">
        <v>32</v>
      </c>
      <c r="G280" t="s">
        <v>32</v>
      </c>
      <c r="H280" t="s">
        <v>33</v>
      </c>
      <c r="I280" t="s">
        <v>8</v>
      </c>
      <c r="J280">
        <v>3</v>
      </c>
      <c r="K280">
        <v>2218</v>
      </c>
      <c r="L280">
        <v>6654</v>
      </c>
      <c r="M280">
        <v>4256.28</v>
      </c>
      <c r="N280">
        <v>2397.7199999999998</v>
      </c>
      <c r="O280" t="str">
        <f>TEXT(Table1[[#This Row],[Order_Date]],"yyy")</f>
        <v>2024</v>
      </c>
    </row>
    <row r="281" spans="1:15" x14ac:dyDescent="0.3">
      <c r="A281" t="s">
        <v>331</v>
      </c>
      <c r="B281" s="1">
        <v>45846</v>
      </c>
      <c r="C281" t="s">
        <v>17</v>
      </c>
      <c r="D281" t="s">
        <v>31</v>
      </c>
      <c r="E281" t="s">
        <v>4</v>
      </c>
      <c r="F281" t="s">
        <v>36</v>
      </c>
      <c r="G281" t="s">
        <v>36</v>
      </c>
      <c r="H281" t="s">
        <v>20</v>
      </c>
      <c r="I281" t="s">
        <v>15</v>
      </c>
      <c r="J281">
        <v>12</v>
      </c>
      <c r="K281">
        <v>763</v>
      </c>
      <c r="L281">
        <v>9156</v>
      </c>
      <c r="M281">
        <v>5501.56</v>
      </c>
      <c r="N281">
        <v>3654.44</v>
      </c>
      <c r="O281" t="str">
        <f>TEXT(Table1[[#This Row],[Order_Date]],"yyy")</f>
        <v>2025</v>
      </c>
    </row>
    <row r="282" spans="1:15" x14ac:dyDescent="0.3">
      <c r="A282" t="s">
        <v>332</v>
      </c>
      <c r="B282" s="1">
        <v>45473</v>
      </c>
      <c r="C282" t="s">
        <v>3</v>
      </c>
      <c r="D282" t="s">
        <v>25</v>
      </c>
      <c r="E282" t="s">
        <v>4</v>
      </c>
      <c r="F282" t="s">
        <v>23</v>
      </c>
      <c r="G282" t="s">
        <v>23</v>
      </c>
      <c r="H282" t="s">
        <v>7</v>
      </c>
      <c r="I282" t="s">
        <v>8</v>
      </c>
      <c r="J282">
        <v>19</v>
      </c>
      <c r="K282">
        <v>273</v>
      </c>
      <c r="L282">
        <v>5187</v>
      </c>
      <c r="M282">
        <v>3909.38</v>
      </c>
      <c r="N282">
        <v>1277.6199999999999</v>
      </c>
      <c r="O282" t="str">
        <f>TEXT(Table1[[#This Row],[Order_Date]],"yyy")</f>
        <v>2024</v>
      </c>
    </row>
    <row r="283" spans="1:15" x14ac:dyDescent="0.3">
      <c r="A283" t="s">
        <v>333</v>
      </c>
      <c r="B283" s="1">
        <v>45687</v>
      </c>
      <c r="C283" t="s">
        <v>10</v>
      </c>
      <c r="D283" t="s">
        <v>21</v>
      </c>
      <c r="E283" t="s">
        <v>4</v>
      </c>
      <c r="F283" t="s">
        <v>23</v>
      </c>
      <c r="G283" t="s">
        <v>23</v>
      </c>
      <c r="H283" t="s">
        <v>14</v>
      </c>
      <c r="I283" t="s">
        <v>8</v>
      </c>
      <c r="J283">
        <v>16</v>
      </c>
      <c r="K283">
        <v>1374</v>
      </c>
      <c r="L283">
        <v>21984</v>
      </c>
      <c r="M283">
        <v>12837.83</v>
      </c>
      <c r="N283">
        <v>9146.17</v>
      </c>
      <c r="O283" t="str">
        <f>TEXT(Table1[[#This Row],[Order_Date]],"yyy")</f>
        <v>2025</v>
      </c>
    </row>
    <row r="284" spans="1:15" x14ac:dyDescent="0.3">
      <c r="A284" t="s">
        <v>334</v>
      </c>
      <c r="B284" s="1">
        <v>45666</v>
      </c>
      <c r="C284" t="s">
        <v>22</v>
      </c>
      <c r="D284" t="s">
        <v>9</v>
      </c>
      <c r="E284" t="s">
        <v>18</v>
      </c>
      <c r="F284" t="s">
        <v>26</v>
      </c>
      <c r="G284" t="s">
        <v>26</v>
      </c>
      <c r="H284" t="s">
        <v>14</v>
      </c>
      <c r="I284" t="s">
        <v>8</v>
      </c>
      <c r="J284">
        <v>17</v>
      </c>
      <c r="K284">
        <v>4282</v>
      </c>
      <c r="L284">
        <v>72794</v>
      </c>
      <c r="M284">
        <v>60310.52</v>
      </c>
      <c r="N284">
        <v>12483.48</v>
      </c>
      <c r="O284" t="str">
        <f>TEXT(Table1[[#This Row],[Order_Date]],"yyy")</f>
        <v>2025</v>
      </c>
    </row>
    <row r="285" spans="1:15" x14ac:dyDescent="0.3">
      <c r="A285" t="s">
        <v>335</v>
      </c>
      <c r="B285" s="1">
        <v>45596</v>
      </c>
      <c r="C285" t="s">
        <v>10</v>
      </c>
      <c r="D285" t="s">
        <v>9</v>
      </c>
      <c r="E285" t="s">
        <v>11</v>
      </c>
      <c r="F285" t="s">
        <v>19</v>
      </c>
      <c r="G285" t="s">
        <v>19</v>
      </c>
      <c r="H285" t="s">
        <v>24</v>
      </c>
      <c r="I285" t="s">
        <v>8</v>
      </c>
      <c r="J285">
        <v>14</v>
      </c>
      <c r="K285">
        <v>3112</v>
      </c>
      <c r="L285">
        <v>43568</v>
      </c>
      <c r="M285">
        <v>31745.34</v>
      </c>
      <c r="N285">
        <v>11822.66</v>
      </c>
      <c r="O285" t="str">
        <f>TEXT(Table1[[#This Row],[Order_Date]],"yyy")</f>
        <v>2024</v>
      </c>
    </row>
    <row r="286" spans="1:15" x14ac:dyDescent="0.3">
      <c r="A286" t="s">
        <v>336</v>
      </c>
      <c r="B286" s="1">
        <v>45354</v>
      </c>
      <c r="C286" t="s">
        <v>3</v>
      </c>
      <c r="D286" t="s">
        <v>9</v>
      </c>
      <c r="E286" t="s">
        <v>4</v>
      </c>
      <c r="F286" t="s">
        <v>32</v>
      </c>
      <c r="G286" t="s">
        <v>32</v>
      </c>
      <c r="H286" t="s">
        <v>14</v>
      </c>
      <c r="I286" t="s">
        <v>8</v>
      </c>
      <c r="J286">
        <v>18</v>
      </c>
      <c r="K286">
        <v>1451</v>
      </c>
      <c r="L286">
        <v>26118</v>
      </c>
      <c r="M286">
        <v>19096.63</v>
      </c>
      <c r="N286">
        <v>7021.37</v>
      </c>
      <c r="O286" t="str">
        <f>TEXT(Table1[[#This Row],[Order_Date]],"yyy")</f>
        <v>2024</v>
      </c>
    </row>
    <row r="287" spans="1:15" x14ac:dyDescent="0.3">
      <c r="A287" t="s">
        <v>337</v>
      </c>
      <c r="B287" s="1">
        <v>45950</v>
      </c>
      <c r="C287" t="s">
        <v>17</v>
      </c>
      <c r="D287" t="s">
        <v>25</v>
      </c>
      <c r="E287" t="s">
        <v>4</v>
      </c>
      <c r="F287" t="s">
        <v>23</v>
      </c>
      <c r="G287" t="s">
        <v>23</v>
      </c>
      <c r="H287" t="s">
        <v>24</v>
      </c>
      <c r="I287" t="s">
        <v>8</v>
      </c>
      <c r="J287">
        <v>15</v>
      </c>
      <c r="K287">
        <v>1704</v>
      </c>
      <c r="L287">
        <v>25560</v>
      </c>
      <c r="M287">
        <v>16362.64</v>
      </c>
      <c r="N287">
        <v>9197.36</v>
      </c>
      <c r="O287" t="str">
        <f>TEXT(Table1[[#This Row],[Order_Date]],"yyy")</f>
        <v>2025</v>
      </c>
    </row>
    <row r="288" spans="1:15" x14ac:dyDescent="0.3">
      <c r="A288" t="s">
        <v>338</v>
      </c>
      <c r="B288" s="1">
        <v>45679</v>
      </c>
      <c r="C288" t="s">
        <v>22</v>
      </c>
      <c r="D288" t="s">
        <v>16</v>
      </c>
      <c r="E288" t="s">
        <v>18</v>
      </c>
      <c r="F288" t="s">
        <v>26</v>
      </c>
      <c r="G288" t="s">
        <v>26</v>
      </c>
      <c r="H288" t="s">
        <v>27</v>
      </c>
      <c r="I288" t="s">
        <v>15</v>
      </c>
      <c r="J288">
        <v>12</v>
      </c>
      <c r="K288">
        <v>3020</v>
      </c>
      <c r="L288">
        <v>36240</v>
      </c>
      <c r="M288">
        <v>26316.720000000001</v>
      </c>
      <c r="N288">
        <v>9923.2800000000007</v>
      </c>
      <c r="O288" t="str">
        <f>TEXT(Table1[[#This Row],[Order_Date]],"yyy")</f>
        <v>2025</v>
      </c>
    </row>
    <row r="289" spans="1:15" x14ac:dyDescent="0.3">
      <c r="A289" t="s">
        <v>339</v>
      </c>
      <c r="B289" s="1">
        <v>45624</v>
      </c>
      <c r="C289" t="s">
        <v>22</v>
      </c>
      <c r="D289" t="s">
        <v>31</v>
      </c>
      <c r="E289" t="s">
        <v>18</v>
      </c>
      <c r="F289" t="s">
        <v>26</v>
      </c>
      <c r="G289" t="s">
        <v>26</v>
      </c>
      <c r="H289" t="s">
        <v>20</v>
      </c>
      <c r="I289" t="s">
        <v>15</v>
      </c>
      <c r="J289">
        <v>6</v>
      </c>
      <c r="K289">
        <v>936</v>
      </c>
      <c r="L289">
        <v>5616</v>
      </c>
      <c r="M289">
        <v>4043.48</v>
      </c>
      <c r="N289">
        <v>1572.52</v>
      </c>
      <c r="O289" t="str">
        <f>TEXT(Table1[[#This Row],[Order_Date]],"yyy")</f>
        <v>2024</v>
      </c>
    </row>
    <row r="290" spans="1:15" x14ac:dyDescent="0.3">
      <c r="A290" t="s">
        <v>340</v>
      </c>
      <c r="B290" s="1">
        <v>45887</v>
      </c>
      <c r="C290" t="s">
        <v>3</v>
      </c>
      <c r="D290" t="s">
        <v>28</v>
      </c>
      <c r="E290" t="s">
        <v>11</v>
      </c>
      <c r="F290" t="s">
        <v>19</v>
      </c>
      <c r="G290" t="s">
        <v>19</v>
      </c>
      <c r="H290" t="s">
        <v>14</v>
      </c>
      <c r="I290" t="s">
        <v>15</v>
      </c>
      <c r="J290">
        <v>12</v>
      </c>
      <c r="K290">
        <v>1177</v>
      </c>
      <c r="L290">
        <v>14124</v>
      </c>
      <c r="M290">
        <v>9032.3799999999992</v>
      </c>
      <c r="N290">
        <v>5091.62</v>
      </c>
      <c r="O290" t="str">
        <f>TEXT(Table1[[#This Row],[Order_Date]],"yyy")</f>
        <v>2025</v>
      </c>
    </row>
    <row r="291" spans="1:15" x14ac:dyDescent="0.3">
      <c r="A291" t="s">
        <v>341</v>
      </c>
      <c r="B291" s="1">
        <v>45351</v>
      </c>
      <c r="C291" t="s">
        <v>17</v>
      </c>
      <c r="D291" t="s">
        <v>31</v>
      </c>
      <c r="E291" t="s">
        <v>18</v>
      </c>
      <c r="F291" t="s">
        <v>26</v>
      </c>
      <c r="G291" t="s">
        <v>26</v>
      </c>
      <c r="H291" t="s">
        <v>27</v>
      </c>
      <c r="I291" t="s">
        <v>15</v>
      </c>
      <c r="J291">
        <v>13</v>
      </c>
      <c r="K291">
        <v>1059</v>
      </c>
      <c r="L291">
        <v>13767</v>
      </c>
      <c r="M291">
        <v>11128.34</v>
      </c>
      <c r="N291">
        <v>2638.66</v>
      </c>
      <c r="O291" t="str">
        <f>TEXT(Table1[[#This Row],[Order_Date]],"yyy")</f>
        <v>2024</v>
      </c>
    </row>
    <row r="292" spans="1:15" x14ac:dyDescent="0.3">
      <c r="A292" t="s">
        <v>342</v>
      </c>
      <c r="B292" s="1">
        <v>45815</v>
      </c>
      <c r="C292" t="s">
        <v>22</v>
      </c>
      <c r="D292" t="s">
        <v>25</v>
      </c>
      <c r="E292" t="s">
        <v>4</v>
      </c>
      <c r="F292" t="s">
        <v>23</v>
      </c>
      <c r="G292" t="s">
        <v>23</v>
      </c>
      <c r="H292" t="s">
        <v>7</v>
      </c>
      <c r="I292" t="s">
        <v>15</v>
      </c>
      <c r="J292">
        <v>14</v>
      </c>
      <c r="K292">
        <v>433</v>
      </c>
      <c r="L292">
        <v>6062</v>
      </c>
      <c r="M292">
        <v>4970.2</v>
      </c>
      <c r="N292">
        <v>1091.8</v>
      </c>
      <c r="O292" t="str">
        <f>TEXT(Table1[[#This Row],[Order_Date]],"yyy")</f>
        <v>2025</v>
      </c>
    </row>
    <row r="293" spans="1:15" x14ac:dyDescent="0.3">
      <c r="A293" t="s">
        <v>343</v>
      </c>
      <c r="B293" s="1">
        <v>45723</v>
      </c>
      <c r="C293" t="s">
        <v>3</v>
      </c>
      <c r="D293" t="s">
        <v>25</v>
      </c>
      <c r="E293" t="s">
        <v>4</v>
      </c>
      <c r="F293" t="s">
        <v>32</v>
      </c>
      <c r="G293" t="s">
        <v>32</v>
      </c>
      <c r="H293" t="s">
        <v>35</v>
      </c>
      <c r="I293" t="s">
        <v>15</v>
      </c>
      <c r="J293">
        <v>8</v>
      </c>
      <c r="K293">
        <v>4894</v>
      </c>
      <c r="L293">
        <v>39152</v>
      </c>
      <c r="M293">
        <v>23726.49</v>
      </c>
      <c r="N293">
        <v>15425.51</v>
      </c>
      <c r="O293" t="str">
        <f>TEXT(Table1[[#This Row],[Order_Date]],"yyy")</f>
        <v>2025</v>
      </c>
    </row>
    <row r="294" spans="1:15" x14ac:dyDescent="0.3">
      <c r="A294" t="s">
        <v>344</v>
      </c>
      <c r="B294" s="1">
        <v>45941</v>
      </c>
      <c r="C294" t="s">
        <v>17</v>
      </c>
      <c r="D294" t="s">
        <v>16</v>
      </c>
      <c r="E294" t="s">
        <v>11</v>
      </c>
      <c r="F294" t="s">
        <v>19</v>
      </c>
      <c r="G294" t="s">
        <v>19</v>
      </c>
      <c r="H294" t="s">
        <v>14</v>
      </c>
      <c r="I294" t="s">
        <v>15</v>
      </c>
      <c r="J294">
        <v>12</v>
      </c>
      <c r="K294">
        <v>3475</v>
      </c>
      <c r="L294">
        <v>41700</v>
      </c>
      <c r="M294">
        <v>26498.75</v>
      </c>
      <c r="N294">
        <v>15201.25</v>
      </c>
      <c r="O294" t="str">
        <f>TEXT(Table1[[#This Row],[Order_Date]],"yyy")</f>
        <v>2025</v>
      </c>
    </row>
    <row r="295" spans="1:15" x14ac:dyDescent="0.3">
      <c r="A295" t="s">
        <v>345</v>
      </c>
      <c r="B295" s="1">
        <v>45607</v>
      </c>
      <c r="C295" t="s">
        <v>17</v>
      </c>
      <c r="D295" t="s">
        <v>28</v>
      </c>
      <c r="E295" t="s">
        <v>18</v>
      </c>
      <c r="F295" t="s">
        <v>34</v>
      </c>
      <c r="G295" t="s">
        <v>34</v>
      </c>
      <c r="H295" t="s">
        <v>30</v>
      </c>
      <c r="I295" t="s">
        <v>8</v>
      </c>
      <c r="J295">
        <v>6</v>
      </c>
      <c r="K295">
        <v>1327</v>
      </c>
      <c r="L295">
        <v>7962</v>
      </c>
      <c r="M295">
        <v>6648.2</v>
      </c>
      <c r="N295">
        <v>1313.8</v>
      </c>
      <c r="O295" t="str">
        <f>TEXT(Table1[[#This Row],[Order_Date]],"yyy")</f>
        <v>2024</v>
      </c>
    </row>
    <row r="296" spans="1:15" x14ac:dyDescent="0.3">
      <c r="A296" t="s">
        <v>346</v>
      </c>
      <c r="B296" s="1">
        <v>45434</v>
      </c>
      <c r="C296" t="s">
        <v>3</v>
      </c>
      <c r="D296" t="s">
        <v>21</v>
      </c>
      <c r="E296" t="s">
        <v>11</v>
      </c>
      <c r="F296" t="s">
        <v>13</v>
      </c>
      <c r="G296" t="s">
        <v>13</v>
      </c>
      <c r="H296" t="s">
        <v>30</v>
      </c>
      <c r="I296" t="s">
        <v>8</v>
      </c>
      <c r="J296">
        <v>13</v>
      </c>
      <c r="K296">
        <v>4050</v>
      </c>
      <c r="L296">
        <v>52650</v>
      </c>
      <c r="M296">
        <v>33731.42</v>
      </c>
      <c r="N296">
        <v>18918.580000000002</v>
      </c>
      <c r="O296" t="str">
        <f>TEXT(Table1[[#This Row],[Order_Date]],"yyy")</f>
        <v>2024</v>
      </c>
    </row>
    <row r="297" spans="1:15" x14ac:dyDescent="0.3">
      <c r="A297" t="s">
        <v>347</v>
      </c>
      <c r="B297" s="1">
        <v>45724</v>
      </c>
      <c r="C297" t="s">
        <v>17</v>
      </c>
      <c r="D297" t="s">
        <v>31</v>
      </c>
      <c r="E297" t="s">
        <v>18</v>
      </c>
      <c r="F297" t="s">
        <v>26</v>
      </c>
      <c r="G297" t="s">
        <v>26</v>
      </c>
      <c r="H297" t="s">
        <v>30</v>
      </c>
      <c r="I297" t="s">
        <v>8</v>
      </c>
      <c r="J297">
        <v>12</v>
      </c>
      <c r="K297">
        <v>3753</v>
      </c>
      <c r="L297">
        <v>45036</v>
      </c>
      <c r="M297">
        <v>33455.32</v>
      </c>
      <c r="N297">
        <v>11580.68</v>
      </c>
      <c r="O297" t="str">
        <f>TEXT(Table1[[#This Row],[Order_Date]],"yyy")</f>
        <v>2025</v>
      </c>
    </row>
    <row r="298" spans="1:15" x14ac:dyDescent="0.3">
      <c r="A298" t="s">
        <v>348</v>
      </c>
      <c r="B298" s="1">
        <v>45583</v>
      </c>
      <c r="C298" t="s">
        <v>17</v>
      </c>
      <c r="D298" t="s">
        <v>9</v>
      </c>
      <c r="E298" t="s">
        <v>18</v>
      </c>
      <c r="F298" t="s">
        <v>26</v>
      </c>
      <c r="G298" t="s">
        <v>26</v>
      </c>
      <c r="H298" t="s">
        <v>14</v>
      </c>
      <c r="I298" t="s">
        <v>8</v>
      </c>
      <c r="J298">
        <v>9</v>
      </c>
      <c r="K298">
        <v>1172</v>
      </c>
      <c r="L298">
        <v>10548</v>
      </c>
      <c r="M298">
        <v>5994.54</v>
      </c>
      <c r="N298">
        <v>4553.46</v>
      </c>
      <c r="O298" t="str">
        <f>TEXT(Table1[[#This Row],[Order_Date]],"yyy")</f>
        <v>2024</v>
      </c>
    </row>
    <row r="299" spans="1:15" x14ac:dyDescent="0.3">
      <c r="A299" t="s">
        <v>349</v>
      </c>
      <c r="B299" s="1">
        <v>45638</v>
      </c>
      <c r="C299" t="s">
        <v>3</v>
      </c>
      <c r="D299" t="s">
        <v>25</v>
      </c>
      <c r="E299" t="s">
        <v>18</v>
      </c>
      <c r="F299" t="s">
        <v>34</v>
      </c>
      <c r="G299" t="s">
        <v>34</v>
      </c>
      <c r="H299" t="s">
        <v>35</v>
      </c>
      <c r="I299" t="s">
        <v>8</v>
      </c>
      <c r="J299">
        <v>18</v>
      </c>
      <c r="K299">
        <v>4258</v>
      </c>
      <c r="L299">
        <v>76644</v>
      </c>
      <c r="M299">
        <v>53304.31</v>
      </c>
      <c r="N299">
        <v>23339.69</v>
      </c>
      <c r="O299" t="str">
        <f>TEXT(Table1[[#This Row],[Order_Date]],"yyy")</f>
        <v>2024</v>
      </c>
    </row>
    <row r="300" spans="1:15" x14ac:dyDescent="0.3">
      <c r="A300" t="s">
        <v>350</v>
      </c>
      <c r="B300" s="1">
        <v>45782</v>
      </c>
      <c r="C300" t="s">
        <v>22</v>
      </c>
      <c r="D300" t="s">
        <v>9</v>
      </c>
      <c r="E300" t="s">
        <v>4</v>
      </c>
      <c r="F300" t="s">
        <v>23</v>
      </c>
      <c r="G300" t="s">
        <v>23</v>
      </c>
      <c r="H300" t="s">
        <v>24</v>
      </c>
      <c r="I300" t="s">
        <v>8</v>
      </c>
      <c r="J300">
        <v>15</v>
      </c>
      <c r="K300">
        <v>3992</v>
      </c>
      <c r="L300">
        <v>59880</v>
      </c>
      <c r="M300">
        <v>36918.86</v>
      </c>
      <c r="N300">
        <v>22961.14</v>
      </c>
      <c r="O300" t="str">
        <f>TEXT(Table1[[#This Row],[Order_Date]],"yyy")</f>
        <v>2025</v>
      </c>
    </row>
    <row r="301" spans="1:15" x14ac:dyDescent="0.3">
      <c r="A301" t="s">
        <v>351</v>
      </c>
      <c r="B301" s="1">
        <v>45500</v>
      </c>
      <c r="C301" t="s">
        <v>22</v>
      </c>
      <c r="D301" t="s">
        <v>25</v>
      </c>
      <c r="E301" t="s">
        <v>4</v>
      </c>
      <c r="F301" t="s">
        <v>32</v>
      </c>
      <c r="G301" t="s">
        <v>32</v>
      </c>
      <c r="H301" t="s">
        <v>20</v>
      </c>
      <c r="I301" t="s">
        <v>15</v>
      </c>
      <c r="J301">
        <v>16</v>
      </c>
      <c r="K301">
        <v>1878</v>
      </c>
      <c r="L301">
        <v>30048</v>
      </c>
      <c r="M301">
        <v>16892.77</v>
      </c>
      <c r="N301">
        <v>13155.23</v>
      </c>
      <c r="O301" t="str">
        <f>TEXT(Table1[[#This Row],[Order_Date]],"yyy")</f>
        <v>2024</v>
      </c>
    </row>
    <row r="302" spans="1:15" x14ac:dyDescent="0.3">
      <c r="A302" t="s">
        <v>352</v>
      </c>
      <c r="B302" s="1">
        <v>45873</v>
      </c>
      <c r="C302" t="s">
        <v>3</v>
      </c>
      <c r="D302" t="s">
        <v>25</v>
      </c>
      <c r="E302" t="s">
        <v>11</v>
      </c>
      <c r="F302" t="s">
        <v>6</v>
      </c>
      <c r="G302" t="s">
        <v>6</v>
      </c>
      <c r="H302" t="s">
        <v>14</v>
      </c>
      <c r="I302" t="s">
        <v>15</v>
      </c>
      <c r="J302">
        <v>15</v>
      </c>
      <c r="K302">
        <v>1068</v>
      </c>
      <c r="L302">
        <v>16020</v>
      </c>
      <c r="M302">
        <v>13267.03</v>
      </c>
      <c r="N302">
        <v>2752.97</v>
      </c>
      <c r="O302" t="str">
        <f>TEXT(Table1[[#This Row],[Order_Date]],"yyy")</f>
        <v>2025</v>
      </c>
    </row>
    <row r="303" spans="1:15" x14ac:dyDescent="0.3">
      <c r="A303" t="s">
        <v>353</v>
      </c>
      <c r="B303" s="1">
        <v>45969</v>
      </c>
      <c r="C303" t="s">
        <v>3</v>
      </c>
      <c r="D303" t="s">
        <v>28</v>
      </c>
      <c r="E303" t="s">
        <v>4</v>
      </c>
      <c r="F303" t="s">
        <v>36</v>
      </c>
      <c r="G303" t="s">
        <v>36</v>
      </c>
      <c r="H303" t="s">
        <v>30</v>
      </c>
      <c r="I303" t="s">
        <v>8</v>
      </c>
      <c r="J303">
        <v>2</v>
      </c>
      <c r="K303">
        <v>390</v>
      </c>
      <c r="L303">
        <v>780</v>
      </c>
      <c r="M303">
        <v>592.04999999999995</v>
      </c>
      <c r="N303">
        <v>187.95</v>
      </c>
      <c r="O303" t="str">
        <f>TEXT(Table1[[#This Row],[Order_Date]],"yyy")</f>
        <v>2025</v>
      </c>
    </row>
    <row r="304" spans="1:15" x14ac:dyDescent="0.3">
      <c r="A304" t="s">
        <v>354</v>
      </c>
      <c r="B304" s="1">
        <v>45995</v>
      </c>
      <c r="C304" t="s">
        <v>3</v>
      </c>
      <c r="D304" t="s">
        <v>31</v>
      </c>
      <c r="E304" t="s">
        <v>18</v>
      </c>
      <c r="F304" t="s">
        <v>34</v>
      </c>
      <c r="G304" t="s">
        <v>34</v>
      </c>
      <c r="H304" t="s">
        <v>33</v>
      </c>
      <c r="I304" t="s">
        <v>15</v>
      </c>
      <c r="J304">
        <v>5</v>
      </c>
      <c r="K304">
        <v>1512</v>
      </c>
      <c r="L304">
        <v>7560</v>
      </c>
      <c r="M304">
        <v>5131.47</v>
      </c>
      <c r="N304">
        <v>2428.5300000000002</v>
      </c>
      <c r="O304" t="str">
        <f>TEXT(Table1[[#This Row],[Order_Date]],"yyy")</f>
        <v>2025</v>
      </c>
    </row>
    <row r="305" spans="1:15" x14ac:dyDescent="0.3">
      <c r="A305" t="s">
        <v>355</v>
      </c>
      <c r="B305" s="1">
        <v>45434</v>
      </c>
      <c r="C305" t="s">
        <v>17</v>
      </c>
      <c r="D305" t="s">
        <v>28</v>
      </c>
      <c r="E305" t="s">
        <v>11</v>
      </c>
      <c r="F305" t="s">
        <v>6</v>
      </c>
      <c r="G305" t="s">
        <v>6</v>
      </c>
      <c r="H305" t="s">
        <v>35</v>
      </c>
      <c r="I305" t="s">
        <v>8</v>
      </c>
      <c r="J305">
        <v>13</v>
      </c>
      <c r="K305">
        <v>855</v>
      </c>
      <c r="L305">
        <v>11115</v>
      </c>
      <c r="M305">
        <v>6353.95</v>
      </c>
      <c r="N305">
        <v>4761.05</v>
      </c>
      <c r="O305" t="str">
        <f>TEXT(Table1[[#This Row],[Order_Date]],"yyy")</f>
        <v>2024</v>
      </c>
    </row>
    <row r="306" spans="1:15" x14ac:dyDescent="0.3">
      <c r="A306" t="s">
        <v>356</v>
      </c>
      <c r="B306" s="1">
        <v>45605</v>
      </c>
      <c r="C306" t="s">
        <v>17</v>
      </c>
      <c r="D306" t="s">
        <v>21</v>
      </c>
      <c r="E306" t="s">
        <v>18</v>
      </c>
      <c r="F306" t="s">
        <v>26</v>
      </c>
      <c r="G306" t="s">
        <v>26</v>
      </c>
      <c r="H306" t="s">
        <v>14</v>
      </c>
      <c r="I306" t="s">
        <v>8</v>
      </c>
      <c r="J306">
        <v>5</v>
      </c>
      <c r="K306">
        <v>3843</v>
      </c>
      <c r="L306">
        <v>19215</v>
      </c>
      <c r="M306">
        <v>11330.37</v>
      </c>
      <c r="N306">
        <v>7884.63</v>
      </c>
      <c r="O306" t="str">
        <f>TEXT(Table1[[#This Row],[Order_Date]],"yyy")</f>
        <v>2024</v>
      </c>
    </row>
    <row r="307" spans="1:15" x14ac:dyDescent="0.3">
      <c r="A307" t="s">
        <v>357</v>
      </c>
      <c r="B307" s="1">
        <v>45865</v>
      </c>
      <c r="C307" t="s">
        <v>22</v>
      </c>
      <c r="D307" t="s">
        <v>9</v>
      </c>
      <c r="E307" t="s">
        <v>11</v>
      </c>
      <c r="F307" t="s">
        <v>13</v>
      </c>
      <c r="G307" t="s">
        <v>13</v>
      </c>
      <c r="H307" t="s">
        <v>7</v>
      </c>
      <c r="I307" t="s">
        <v>15</v>
      </c>
      <c r="J307">
        <v>13</v>
      </c>
      <c r="K307">
        <v>2564</v>
      </c>
      <c r="L307">
        <v>33332</v>
      </c>
      <c r="M307">
        <v>24243.95</v>
      </c>
      <c r="N307">
        <v>9088.0499999999993</v>
      </c>
      <c r="O307" t="str">
        <f>TEXT(Table1[[#This Row],[Order_Date]],"yyy")</f>
        <v>2025</v>
      </c>
    </row>
    <row r="308" spans="1:15" x14ac:dyDescent="0.3">
      <c r="A308" t="s">
        <v>358</v>
      </c>
      <c r="B308" s="1">
        <v>45915</v>
      </c>
      <c r="C308" t="s">
        <v>3</v>
      </c>
      <c r="D308" t="s">
        <v>31</v>
      </c>
      <c r="E308" t="s">
        <v>18</v>
      </c>
      <c r="F308" t="s">
        <v>26</v>
      </c>
      <c r="G308" t="s">
        <v>26</v>
      </c>
      <c r="H308" t="s">
        <v>20</v>
      </c>
      <c r="I308" t="s">
        <v>8</v>
      </c>
      <c r="J308">
        <v>3</v>
      </c>
      <c r="K308">
        <v>1566</v>
      </c>
      <c r="L308">
        <v>4698</v>
      </c>
      <c r="M308">
        <v>2889</v>
      </c>
      <c r="N308">
        <v>1809</v>
      </c>
      <c r="O308" t="str">
        <f>TEXT(Table1[[#This Row],[Order_Date]],"yyy")</f>
        <v>2025</v>
      </c>
    </row>
    <row r="309" spans="1:15" x14ac:dyDescent="0.3">
      <c r="A309" t="s">
        <v>359</v>
      </c>
      <c r="B309" s="1">
        <v>45595</v>
      </c>
      <c r="C309" t="s">
        <v>17</v>
      </c>
      <c r="D309" t="s">
        <v>9</v>
      </c>
      <c r="E309" t="s">
        <v>18</v>
      </c>
      <c r="F309" t="s">
        <v>26</v>
      </c>
      <c r="G309" t="s">
        <v>26</v>
      </c>
      <c r="H309" t="s">
        <v>30</v>
      </c>
      <c r="I309" t="s">
        <v>8</v>
      </c>
      <c r="J309">
        <v>4</v>
      </c>
      <c r="K309">
        <v>507</v>
      </c>
      <c r="L309">
        <v>2028</v>
      </c>
      <c r="M309">
        <v>1175.28</v>
      </c>
      <c r="N309">
        <v>852.72</v>
      </c>
      <c r="O309" t="str">
        <f>TEXT(Table1[[#This Row],[Order_Date]],"yyy")</f>
        <v>2024</v>
      </c>
    </row>
    <row r="310" spans="1:15" x14ac:dyDescent="0.3">
      <c r="A310" t="s">
        <v>360</v>
      </c>
      <c r="B310" s="1">
        <v>45577</v>
      </c>
      <c r="C310" t="s">
        <v>22</v>
      </c>
      <c r="D310" t="s">
        <v>16</v>
      </c>
      <c r="E310" t="s">
        <v>11</v>
      </c>
      <c r="F310" t="s">
        <v>19</v>
      </c>
      <c r="G310" t="s">
        <v>19</v>
      </c>
      <c r="H310" t="s">
        <v>24</v>
      </c>
      <c r="I310" t="s">
        <v>8</v>
      </c>
      <c r="J310">
        <v>10</v>
      </c>
      <c r="K310">
        <v>3825</v>
      </c>
      <c r="L310">
        <v>38250</v>
      </c>
      <c r="M310">
        <v>31264.18</v>
      </c>
      <c r="N310">
        <v>6985.82</v>
      </c>
      <c r="O310" t="str">
        <f>TEXT(Table1[[#This Row],[Order_Date]],"yyy")</f>
        <v>2024</v>
      </c>
    </row>
    <row r="311" spans="1:15" x14ac:dyDescent="0.3">
      <c r="A311" t="s">
        <v>361</v>
      </c>
      <c r="B311" s="1">
        <v>45904</v>
      </c>
      <c r="C311" t="s">
        <v>10</v>
      </c>
      <c r="D311" t="s">
        <v>25</v>
      </c>
      <c r="E311" t="s">
        <v>4</v>
      </c>
      <c r="F311" t="s">
        <v>36</v>
      </c>
      <c r="G311" t="s">
        <v>36</v>
      </c>
      <c r="H311" t="s">
        <v>20</v>
      </c>
      <c r="I311" t="s">
        <v>15</v>
      </c>
      <c r="J311">
        <v>19</v>
      </c>
      <c r="K311">
        <v>4743</v>
      </c>
      <c r="L311">
        <v>90117</v>
      </c>
      <c r="M311">
        <v>58822.49</v>
      </c>
      <c r="N311">
        <v>31294.51</v>
      </c>
      <c r="O311" t="str">
        <f>TEXT(Table1[[#This Row],[Order_Date]],"yyy")</f>
        <v>2025</v>
      </c>
    </row>
    <row r="312" spans="1:15" x14ac:dyDescent="0.3">
      <c r="A312" t="s">
        <v>362</v>
      </c>
      <c r="B312" s="1">
        <v>45776</v>
      </c>
      <c r="C312" t="s">
        <v>17</v>
      </c>
      <c r="D312" t="s">
        <v>28</v>
      </c>
      <c r="E312" t="s">
        <v>18</v>
      </c>
      <c r="F312" t="s">
        <v>26</v>
      </c>
      <c r="G312" t="s">
        <v>26</v>
      </c>
      <c r="H312" t="s">
        <v>33</v>
      </c>
      <c r="I312" t="s">
        <v>8</v>
      </c>
      <c r="J312">
        <v>12</v>
      </c>
      <c r="K312">
        <v>3971</v>
      </c>
      <c r="L312">
        <v>47652</v>
      </c>
      <c r="M312">
        <v>36495.75</v>
      </c>
      <c r="N312">
        <v>11156.25</v>
      </c>
      <c r="O312" t="str">
        <f>TEXT(Table1[[#This Row],[Order_Date]],"yyy")</f>
        <v>2025</v>
      </c>
    </row>
    <row r="313" spans="1:15" x14ac:dyDescent="0.3">
      <c r="A313" t="s">
        <v>363</v>
      </c>
      <c r="B313" s="1">
        <v>45803</v>
      </c>
      <c r="C313" t="s">
        <v>22</v>
      </c>
      <c r="D313" t="s">
        <v>16</v>
      </c>
      <c r="E313" t="s">
        <v>18</v>
      </c>
      <c r="F313" t="s">
        <v>26</v>
      </c>
      <c r="G313" t="s">
        <v>26</v>
      </c>
      <c r="H313" t="s">
        <v>7</v>
      </c>
      <c r="I313" t="s">
        <v>8</v>
      </c>
      <c r="J313">
        <v>11</v>
      </c>
      <c r="K313">
        <v>4150</v>
      </c>
      <c r="L313">
        <v>45650</v>
      </c>
      <c r="M313">
        <v>28201.32</v>
      </c>
      <c r="N313">
        <v>17448.68</v>
      </c>
      <c r="O313" t="str">
        <f>TEXT(Table1[[#This Row],[Order_Date]],"yyy")</f>
        <v>2025</v>
      </c>
    </row>
    <row r="314" spans="1:15" x14ac:dyDescent="0.3">
      <c r="A314" t="s">
        <v>364</v>
      </c>
      <c r="B314" s="1">
        <v>45298</v>
      </c>
      <c r="C314" t="s">
        <v>22</v>
      </c>
      <c r="D314" t="s">
        <v>16</v>
      </c>
      <c r="E314" t="s">
        <v>11</v>
      </c>
      <c r="F314" t="s">
        <v>6</v>
      </c>
      <c r="G314" t="s">
        <v>6</v>
      </c>
      <c r="H314" t="s">
        <v>27</v>
      </c>
      <c r="I314" t="s">
        <v>15</v>
      </c>
      <c r="J314">
        <v>10</v>
      </c>
      <c r="K314">
        <v>750</v>
      </c>
      <c r="L314">
        <v>7500</v>
      </c>
      <c r="M314">
        <v>5884.53</v>
      </c>
      <c r="N314">
        <v>1615.47</v>
      </c>
      <c r="O314" t="str">
        <f>TEXT(Table1[[#This Row],[Order_Date]],"yyy")</f>
        <v>2024</v>
      </c>
    </row>
    <row r="315" spans="1:15" x14ac:dyDescent="0.3">
      <c r="A315" t="s">
        <v>365</v>
      </c>
      <c r="B315" s="1">
        <v>45877</v>
      </c>
      <c r="C315" t="s">
        <v>3</v>
      </c>
      <c r="D315" t="s">
        <v>9</v>
      </c>
      <c r="E315" t="s">
        <v>11</v>
      </c>
      <c r="F315" t="s">
        <v>19</v>
      </c>
      <c r="G315" t="s">
        <v>19</v>
      </c>
      <c r="H315" t="s">
        <v>30</v>
      </c>
      <c r="I315" t="s">
        <v>15</v>
      </c>
      <c r="J315">
        <v>18</v>
      </c>
      <c r="K315">
        <v>2146</v>
      </c>
      <c r="L315">
        <v>38628</v>
      </c>
      <c r="M315">
        <v>32255.78</v>
      </c>
      <c r="N315">
        <v>6372.22</v>
      </c>
      <c r="O315" t="str">
        <f>TEXT(Table1[[#This Row],[Order_Date]],"yyy")</f>
        <v>2025</v>
      </c>
    </row>
    <row r="316" spans="1:15" x14ac:dyDescent="0.3">
      <c r="A316" t="s">
        <v>366</v>
      </c>
      <c r="B316" s="1">
        <v>45944</v>
      </c>
      <c r="C316" t="s">
        <v>3</v>
      </c>
      <c r="D316" t="s">
        <v>31</v>
      </c>
      <c r="E316" t="s">
        <v>11</v>
      </c>
      <c r="F316" t="s">
        <v>19</v>
      </c>
      <c r="G316" t="s">
        <v>19</v>
      </c>
      <c r="H316" t="s">
        <v>35</v>
      </c>
      <c r="I316" t="s">
        <v>15</v>
      </c>
      <c r="J316">
        <v>16</v>
      </c>
      <c r="K316">
        <v>1384</v>
      </c>
      <c r="L316">
        <v>22144</v>
      </c>
      <c r="M316">
        <v>13094.15</v>
      </c>
      <c r="N316">
        <v>9049.85</v>
      </c>
      <c r="O316" t="str">
        <f>TEXT(Table1[[#This Row],[Order_Date]],"yyy")</f>
        <v>2025</v>
      </c>
    </row>
    <row r="317" spans="1:15" x14ac:dyDescent="0.3">
      <c r="A317" t="s">
        <v>367</v>
      </c>
      <c r="B317" s="1">
        <v>45787</v>
      </c>
      <c r="C317" t="s">
        <v>3</v>
      </c>
      <c r="D317" t="s">
        <v>31</v>
      </c>
      <c r="E317" t="s">
        <v>11</v>
      </c>
      <c r="F317" t="s">
        <v>13</v>
      </c>
      <c r="G317" t="s">
        <v>13</v>
      </c>
      <c r="H317" t="s">
        <v>33</v>
      </c>
      <c r="I317" t="s">
        <v>8</v>
      </c>
      <c r="J317">
        <v>17</v>
      </c>
      <c r="K317">
        <v>1161</v>
      </c>
      <c r="L317">
        <v>19737</v>
      </c>
      <c r="M317">
        <v>16587.580000000002</v>
      </c>
      <c r="N317">
        <v>3149.42</v>
      </c>
      <c r="O317" t="str">
        <f>TEXT(Table1[[#This Row],[Order_Date]],"yyy")</f>
        <v>2025</v>
      </c>
    </row>
    <row r="318" spans="1:15" x14ac:dyDescent="0.3">
      <c r="A318" t="s">
        <v>368</v>
      </c>
      <c r="B318" s="1">
        <v>45860</v>
      </c>
      <c r="C318" t="s">
        <v>10</v>
      </c>
      <c r="D318" t="s">
        <v>31</v>
      </c>
      <c r="E318" t="s">
        <v>11</v>
      </c>
      <c r="F318" t="s">
        <v>13</v>
      </c>
      <c r="G318" t="s">
        <v>13</v>
      </c>
      <c r="H318" t="s">
        <v>20</v>
      </c>
      <c r="I318" t="s">
        <v>8</v>
      </c>
      <c r="J318">
        <v>3</v>
      </c>
      <c r="K318">
        <v>4431</v>
      </c>
      <c r="L318">
        <v>13293</v>
      </c>
      <c r="M318">
        <v>10630.36</v>
      </c>
      <c r="N318">
        <v>2662.64</v>
      </c>
      <c r="O318" t="str">
        <f>TEXT(Table1[[#This Row],[Order_Date]],"yyy")</f>
        <v>2025</v>
      </c>
    </row>
    <row r="319" spans="1:15" x14ac:dyDescent="0.3">
      <c r="A319" t="s">
        <v>369</v>
      </c>
      <c r="B319" s="1">
        <v>45925</v>
      </c>
      <c r="C319" t="s">
        <v>17</v>
      </c>
      <c r="D319" t="s">
        <v>21</v>
      </c>
      <c r="E319" t="s">
        <v>18</v>
      </c>
      <c r="F319" t="s">
        <v>29</v>
      </c>
      <c r="G319" t="s">
        <v>29</v>
      </c>
      <c r="H319" t="s">
        <v>7</v>
      </c>
      <c r="I319" t="s">
        <v>8</v>
      </c>
      <c r="J319">
        <v>20</v>
      </c>
      <c r="K319">
        <v>2132</v>
      </c>
      <c r="L319">
        <v>42640</v>
      </c>
      <c r="M319">
        <v>29283.25</v>
      </c>
      <c r="N319">
        <v>13356.75</v>
      </c>
      <c r="O319" t="str">
        <f>TEXT(Table1[[#This Row],[Order_Date]],"yyy")</f>
        <v>2025</v>
      </c>
    </row>
    <row r="320" spans="1:15" x14ac:dyDescent="0.3">
      <c r="A320" t="s">
        <v>370</v>
      </c>
      <c r="B320" s="1">
        <v>45424</v>
      </c>
      <c r="C320" t="s">
        <v>22</v>
      </c>
      <c r="D320" t="s">
        <v>21</v>
      </c>
      <c r="E320" t="s">
        <v>11</v>
      </c>
      <c r="F320" t="s">
        <v>19</v>
      </c>
      <c r="G320" t="s">
        <v>19</v>
      </c>
      <c r="H320" t="s">
        <v>20</v>
      </c>
      <c r="I320" t="s">
        <v>15</v>
      </c>
      <c r="J320">
        <v>17</v>
      </c>
      <c r="K320">
        <v>3756</v>
      </c>
      <c r="L320">
        <v>63852</v>
      </c>
      <c r="M320">
        <v>41551.43</v>
      </c>
      <c r="N320">
        <v>22300.57</v>
      </c>
      <c r="O320" t="str">
        <f>TEXT(Table1[[#This Row],[Order_Date]],"yyy")</f>
        <v>2024</v>
      </c>
    </row>
    <row r="321" spans="1:15" x14ac:dyDescent="0.3">
      <c r="A321" t="s">
        <v>371</v>
      </c>
      <c r="B321" s="1">
        <v>45892</v>
      </c>
      <c r="C321" t="s">
        <v>10</v>
      </c>
      <c r="D321" t="s">
        <v>16</v>
      </c>
      <c r="E321" t="s">
        <v>11</v>
      </c>
      <c r="F321" t="s">
        <v>19</v>
      </c>
      <c r="G321" t="s">
        <v>19</v>
      </c>
      <c r="H321" t="s">
        <v>7</v>
      </c>
      <c r="I321" t="s">
        <v>8</v>
      </c>
      <c r="J321">
        <v>14</v>
      </c>
      <c r="K321">
        <v>3684</v>
      </c>
      <c r="L321">
        <v>51576</v>
      </c>
      <c r="M321">
        <v>33507.870000000003</v>
      </c>
      <c r="N321">
        <v>18068.13</v>
      </c>
      <c r="O321" t="str">
        <f>TEXT(Table1[[#This Row],[Order_Date]],"yyy")</f>
        <v>2025</v>
      </c>
    </row>
    <row r="322" spans="1:15" x14ac:dyDescent="0.3">
      <c r="A322" t="s">
        <v>372</v>
      </c>
      <c r="B322" s="1">
        <v>45683</v>
      </c>
      <c r="C322" t="s">
        <v>10</v>
      </c>
      <c r="D322" t="s">
        <v>16</v>
      </c>
      <c r="E322" t="s">
        <v>18</v>
      </c>
      <c r="F322" t="s">
        <v>29</v>
      </c>
      <c r="G322" t="s">
        <v>29</v>
      </c>
      <c r="H322" t="s">
        <v>14</v>
      </c>
      <c r="I322" t="s">
        <v>8</v>
      </c>
      <c r="J322">
        <v>17</v>
      </c>
      <c r="K322">
        <v>1938</v>
      </c>
      <c r="L322">
        <v>32946</v>
      </c>
      <c r="M322">
        <v>22322.63</v>
      </c>
      <c r="N322">
        <v>10623.37</v>
      </c>
      <c r="O322" t="str">
        <f>TEXT(Table1[[#This Row],[Order_Date]],"yyy")</f>
        <v>2025</v>
      </c>
    </row>
    <row r="323" spans="1:15" x14ac:dyDescent="0.3">
      <c r="A323" t="s">
        <v>373</v>
      </c>
      <c r="B323" s="1">
        <v>45571</v>
      </c>
      <c r="C323" t="s">
        <v>22</v>
      </c>
      <c r="D323" t="s">
        <v>21</v>
      </c>
      <c r="E323" t="s">
        <v>11</v>
      </c>
      <c r="F323" t="s">
        <v>6</v>
      </c>
      <c r="G323" t="s">
        <v>6</v>
      </c>
      <c r="H323" t="s">
        <v>30</v>
      </c>
      <c r="I323" t="s">
        <v>15</v>
      </c>
      <c r="J323">
        <v>11</v>
      </c>
      <c r="K323">
        <v>395</v>
      </c>
      <c r="L323">
        <v>4345</v>
      </c>
      <c r="M323">
        <v>2471.36</v>
      </c>
      <c r="N323">
        <v>1873.64</v>
      </c>
      <c r="O323" t="str">
        <f>TEXT(Table1[[#This Row],[Order_Date]],"yyy")</f>
        <v>2024</v>
      </c>
    </row>
    <row r="324" spans="1:15" x14ac:dyDescent="0.3">
      <c r="A324" t="s">
        <v>374</v>
      </c>
      <c r="B324" s="1">
        <v>45444</v>
      </c>
      <c r="C324" t="s">
        <v>22</v>
      </c>
      <c r="D324" t="s">
        <v>31</v>
      </c>
      <c r="E324" t="s">
        <v>4</v>
      </c>
      <c r="F324" t="s">
        <v>36</v>
      </c>
      <c r="G324" t="s">
        <v>36</v>
      </c>
      <c r="H324" t="s">
        <v>20</v>
      </c>
      <c r="I324" t="s">
        <v>8</v>
      </c>
      <c r="J324">
        <v>19</v>
      </c>
      <c r="K324">
        <v>680</v>
      </c>
      <c r="L324">
        <v>12920</v>
      </c>
      <c r="M324">
        <v>10084.31</v>
      </c>
      <c r="N324">
        <v>2835.69</v>
      </c>
      <c r="O324" t="str">
        <f>TEXT(Table1[[#This Row],[Order_Date]],"yyy")</f>
        <v>2024</v>
      </c>
    </row>
    <row r="325" spans="1:15" x14ac:dyDescent="0.3">
      <c r="A325" t="s">
        <v>375</v>
      </c>
      <c r="B325" s="1">
        <v>45364</v>
      </c>
      <c r="C325" t="s">
        <v>3</v>
      </c>
      <c r="D325" t="s">
        <v>9</v>
      </c>
      <c r="E325" t="s">
        <v>4</v>
      </c>
      <c r="F325" t="s">
        <v>23</v>
      </c>
      <c r="G325" t="s">
        <v>23</v>
      </c>
      <c r="H325" t="s">
        <v>33</v>
      </c>
      <c r="I325" t="s">
        <v>15</v>
      </c>
      <c r="J325">
        <v>10</v>
      </c>
      <c r="K325">
        <v>3089</v>
      </c>
      <c r="L325">
        <v>30890</v>
      </c>
      <c r="M325">
        <v>20377.939999999999</v>
      </c>
      <c r="N325">
        <v>10512.06</v>
      </c>
      <c r="O325" t="str">
        <f>TEXT(Table1[[#This Row],[Order_Date]],"yyy")</f>
        <v>2024</v>
      </c>
    </row>
    <row r="326" spans="1:15" x14ac:dyDescent="0.3">
      <c r="A326" t="s">
        <v>376</v>
      </c>
      <c r="B326" s="1">
        <v>45922</v>
      </c>
      <c r="C326" t="s">
        <v>3</v>
      </c>
      <c r="D326" t="s">
        <v>16</v>
      </c>
      <c r="E326" t="s">
        <v>18</v>
      </c>
      <c r="F326" t="s">
        <v>29</v>
      </c>
      <c r="G326" t="s">
        <v>29</v>
      </c>
      <c r="H326" t="s">
        <v>30</v>
      </c>
      <c r="I326" t="s">
        <v>8</v>
      </c>
      <c r="J326">
        <v>14</v>
      </c>
      <c r="K326">
        <v>3856</v>
      </c>
      <c r="L326">
        <v>53984</v>
      </c>
      <c r="M326">
        <v>43649.94</v>
      </c>
      <c r="N326">
        <v>10334.06</v>
      </c>
      <c r="O326" t="str">
        <f>TEXT(Table1[[#This Row],[Order_Date]],"yyy")</f>
        <v>2025</v>
      </c>
    </row>
    <row r="327" spans="1:15" x14ac:dyDescent="0.3">
      <c r="A327" t="s">
        <v>377</v>
      </c>
      <c r="B327" s="1">
        <v>45720</v>
      </c>
      <c r="C327" t="s">
        <v>22</v>
      </c>
      <c r="D327" t="s">
        <v>28</v>
      </c>
      <c r="E327" t="s">
        <v>18</v>
      </c>
      <c r="F327" t="s">
        <v>34</v>
      </c>
      <c r="G327" t="s">
        <v>34</v>
      </c>
      <c r="H327" t="s">
        <v>7</v>
      </c>
      <c r="I327" t="s">
        <v>8</v>
      </c>
      <c r="J327">
        <v>16</v>
      </c>
      <c r="K327">
        <v>596</v>
      </c>
      <c r="L327">
        <v>9536</v>
      </c>
      <c r="M327">
        <v>7652.6</v>
      </c>
      <c r="N327">
        <v>1883.4</v>
      </c>
      <c r="O327" t="str">
        <f>TEXT(Table1[[#This Row],[Order_Date]],"yyy")</f>
        <v>2025</v>
      </c>
    </row>
    <row r="328" spans="1:15" x14ac:dyDescent="0.3">
      <c r="A328" t="s">
        <v>378</v>
      </c>
      <c r="B328" s="1">
        <v>45797</v>
      </c>
      <c r="C328" t="s">
        <v>17</v>
      </c>
      <c r="D328" t="s">
        <v>9</v>
      </c>
      <c r="E328" t="s">
        <v>4</v>
      </c>
      <c r="F328" t="s">
        <v>36</v>
      </c>
      <c r="G328" t="s">
        <v>36</v>
      </c>
      <c r="H328" t="s">
        <v>20</v>
      </c>
      <c r="I328" t="s">
        <v>15</v>
      </c>
      <c r="J328">
        <v>5</v>
      </c>
      <c r="K328">
        <v>4213</v>
      </c>
      <c r="L328">
        <v>21065</v>
      </c>
      <c r="M328">
        <v>16937.169999999998</v>
      </c>
      <c r="N328">
        <v>4127.83</v>
      </c>
      <c r="O328" t="str">
        <f>TEXT(Table1[[#This Row],[Order_Date]],"yyy")</f>
        <v>2025</v>
      </c>
    </row>
    <row r="329" spans="1:15" x14ac:dyDescent="0.3">
      <c r="A329" t="s">
        <v>379</v>
      </c>
      <c r="B329" s="1">
        <v>45758</v>
      </c>
      <c r="C329" t="s">
        <v>3</v>
      </c>
      <c r="D329" t="s">
        <v>28</v>
      </c>
      <c r="E329" t="s">
        <v>18</v>
      </c>
      <c r="F329" t="s">
        <v>29</v>
      </c>
      <c r="G329" t="s">
        <v>29</v>
      </c>
      <c r="H329" t="s">
        <v>27</v>
      </c>
      <c r="I329" t="s">
        <v>15</v>
      </c>
      <c r="J329">
        <v>17</v>
      </c>
      <c r="K329">
        <v>1383</v>
      </c>
      <c r="L329">
        <v>23511</v>
      </c>
      <c r="M329">
        <v>15271.9</v>
      </c>
      <c r="N329">
        <v>8239.1</v>
      </c>
      <c r="O329" t="str">
        <f>TEXT(Table1[[#This Row],[Order_Date]],"yyy")</f>
        <v>2025</v>
      </c>
    </row>
    <row r="330" spans="1:15" x14ac:dyDescent="0.3">
      <c r="A330" t="s">
        <v>380</v>
      </c>
      <c r="B330" s="1">
        <v>45571</v>
      </c>
      <c r="C330" t="s">
        <v>10</v>
      </c>
      <c r="D330" t="s">
        <v>31</v>
      </c>
      <c r="E330" t="s">
        <v>4</v>
      </c>
      <c r="F330" t="s">
        <v>32</v>
      </c>
      <c r="G330" t="s">
        <v>32</v>
      </c>
      <c r="H330" t="s">
        <v>35</v>
      </c>
      <c r="I330" t="s">
        <v>15</v>
      </c>
      <c r="J330">
        <v>20</v>
      </c>
      <c r="K330">
        <v>4030</v>
      </c>
      <c r="L330">
        <v>80600</v>
      </c>
      <c r="M330">
        <v>51206.78</v>
      </c>
      <c r="N330">
        <v>29393.22</v>
      </c>
      <c r="O330" t="str">
        <f>TEXT(Table1[[#This Row],[Order_Date]],"yyy")</f>
        <v>2024</v>
      </c>
    </row>
    <row r="331" spans="1:15" x14ac:dyDescent="0.3">
      <c r="A331" t="s">
        <v>381</v>
      </c>
      <c r="B331" s="1">
        <v>45337</v>
      </c>
      <c r="C331" t="s">
        <v>17</v>
      </c>
      <c r="D331" t="s">
        <v>16</v>
      </c>
      <c r="E331" t="s">
        <v>11</v>
      </c>
      <c r="F331" t="s">
        <v>13</v>
      </c>
      <c r="G331" t="s">
        <v>13</v>
      </c>
      <c r="H331" t="s">
        <v>30</v>
      </c>
      <c r="I331" t="s">
        <v>15</v>
      </c>
      <c r="J331">
        <v>19</v>
      </c>
      <c r="K331">
        <v>4670</v>
      </c>
      <c r="L331">
        <v>88730</v>
      </c>
      <c r="M331">
        <v>56794.46</v>
      </c>
      <c r="N331">
        <v>31935.54</v>
      </c>
      <c r="O331" t="str">
        <f>TEXT(Table1[[#This Row],[Order_Date]],"yyy")</f>
        <v>2024</v>
      </c>
    </row>
    <row r="332" spans="1:15" x14ac:dyDescent="0.3">
      <c r="A332" t="s">
        <v>382</v>
      </c>
      <c r="B332" s="1">
        <v>45649</v>
      </c>
      <c r="C332" t="s">
        <v>10</v>
      </c>
      <c r="D332" t="s">
        <v>28</v>
      </c>
      <c r="E332" t="s">
        <v>18</v>
      </c>
      <c r="F332" t="s">
        <v>34</v>
      </c>
      <c r="G332" t="s">
        <v>34</v>
      </c>
      <c r="H332" t="s">
        <v>14</v>
      </c>
      <c r="I332" t="s">
        <v>15</v>
      </c>
      <c r="J332">
        <v>19</v>
      </c>
      <c r="K332">
        <v>4018</v>
      </c>
      <c r="L332">
        <v>76342</v>
      </c>
      <c r="M332">
        <v>50869.41</v>
      </c>
      <c r="N332">
        <v>25472.59</v>
      </c>
      <c r="O332" t="str">
        <f>TEXT(Table1[[#This Row],[Order_Date]],"yyy")</f>
        <v>2024</v>
      </c>
    </row>
    <row r="333" spans="1:15" x14ac:dyDescent="0.3">
      <c r="A333" t="s">
        <v>383</v>
      </c>
      <c r="B333" s="1">
        <v>45860</v>
      </c>
      <c r="C333" t="s">
        <v>10</v>
      </c>
      <c r="D333" t="s">
        <v>16</v>
      </c>
      <c r="E333" t="s">
        <v>4</v>
      </c>
      <c r="F333" t="s">
        <v>23</v>
      </c>
      <c r="G333" t="s">
        <v>23</v>
      </c>
      <c r="H333" t="s">
        <v>24</v>
      </c>
      <c r="I333" t="s">
        <v>15</v>
      </c>
      <c r="J333">
        <v>8</v>
      </c>
      <c r="K333">
        <v>1470</v>
      </c>
      <c r="L333">
        <v>11760</v>
      </c>
      <c r="M333">
        <v>9235.41</v>
      </c>
      <c r="N333">
        <v>2524.59</v>
      </c>
      <c r="O333" t="str">
        <f>TEXT(Table1[[#This Row],[Order_Date]],"yyy")</f>
        <v>2025</v>
      </c>
    </row>
    <row r="334" spans="1:15" x14ac:dyDescent="0.3">
      <c r="A334" t="s">
        <v>384</v>
      </c>
      <c r="B334" s="1">
        <v>45311</v>
      </c>
      <c r="C334" t="s">
        <v>3</v>
      </c>
      <c r="D334" t="s">
        <v>31</v>
      </c>
      <c r="E334" t="s">
        <v>11</v>
      </c>
      <c r="F334" t="s">
        <v>13</v>
      </c>
      <c r="G334" t="s">
        <v>13</v>
      </c>
      <c r="H334" t="s">
        <v>33</v>
      </c>
      <c r="I334" t="s">
        <v>15</v>
      </c>
      <c r="J334">
        <v>9</v>
      </c>
      <c r="K334">
        <v>1874</v>
      </c>
      <c r="L334">
        <v>16866</v>
      </c>
      <c r="M334">
        <v>13191.77</v>
      </c>
      <c r="N334">
        <v>3674.23</v>
      </c>
      <c r="O334" t="str">
        <f>TEXT(Table1[[#This Row],[Order_Date]],"yyy")</f>
        <v>2024</v>
      </c>
    </row>
    <row r="335" spans="1:15" x14ac:dyDescent="0.3">
      <c r="A335" t="s">
        <v>385</v>
      </c>
      <c r="B335" s="1">
        <v>45994</v>
      </c>
      <c r="C335" t="s">
        <v>3</v>
      </c>
      <c r="D335" t="s">
        <v>25</v>
      </c>
      <c r="E335" t="s">
        <v>18</v>
      </c>
      <c r="F335" t="s">
        <v>26</v>
      </c>
      <c r="G335" t="s">
        <v>26</v>
      </c>
      <c r="H335" t="s">
        <v>7</v>
      </c>
      <c r="I335" t="s">
        <v>15</v>
      </c>
      <c r="J335">
        <v>5</v>
      </c>
      <c r="K335">
        <v>2297</v>
      </c>
      <c r="L335">
        <v>11485</v>
      </c>
      <c r="M335">
        <v>6404.21</v>
      </c>
      <c r="N335">
        <v>5080.79</v>
      </c>
      <c r="O335" t="str">
        <f>TEXT(Table1[[#This Row],[Order_Date]],"yyy")</f>
        <v>2025</v>
      </c>
    </row>
    <row r="336" spans="1:15" x14ac:dyDescent="0.3">
      <c r="A336" t="s">
        <v>386</v>
      </c>
      <c r="B336" s="1">
        <v>45433</v>
      </c>
      <c r="C336" t="s">
        <v>17</v>
      </c>
      <c r="D336" t="s">
        <v>31</v>
      </c>
      <c r="E336" t="s">
        <v>18</v>
      </c>
      <c r="F336" t="s">
        <v>34</v>
      </c>
      <c r="G336" t="s">
        <v>34</v>
      </c>
      <c r="H336" t="s">
        <v>33</v>
      </c>
      <c r="I336" t="s">
        <v>15</v>
      </c>
      <c r="J336">
        <v>17</v>
      </c>
      <c r="K336">
        <v>2241</v>
      </c>
      <c r="L336">
        <v>38097</v>
      </c>
      <c r="M336">
        <v>27671.56</v>
      </c>
      <c r="N336">
        <v>10425.44</v>
      </c>
      <c r="O336" t="str">
        <f>TEXT(Table1[[#This Row],[Order_Date]],"yyy")</f>
        <v>2024</v>
      </c>
    </row>
    <row r="337" spans="1:15" x14ac:dyDescent="0.3">
      <c r="A337" t="s">
        <v>387</v>
      </c>
      <c r="B337" s="1">
        <v>45468</v>
      </c>
      <c r="C337" t="s">
        <v>3</v>
      </c>
      <c r="D337" t="s">
        <v>21</v>
      </c>
      <c r="E337" t="s">
        <v>11</v>
      </c>
      <c r="F337" t="s">
        <v>19</v>
      </c>
      <c r="G337" t="s">
        <v>19</v>
      </c>
      <c r="H337" t="s">
        <v>35</v>
      </c>
      <c r="I337" t="s">
        <v>15</v>
      </c>
      <c r="J337">
        <v>15</v>
      </c>
      <c r="K337">
        <v>4830</v>
      </c>
      <c r="L337">
        <v>72450</v>
      </c>
      <c r="M337">
        <v>46850.38</v>
      </c>
      <c r="N337">
        <v>25599.62</v>
      </c>
      <c r="O337" t="str">
        <f>TEXT(Table1[[#This Row],[Order_Date]],"yyy")</f>
        <v>2024</v>
      </c>
    </row>
    <row r="338" spans="1:15" x14ac:dyDescent="0.3">
      <c r="A338" t="s">
        <v>388</v>
      </c>
      <c r="B338" s="1">
        <v>45724</v>
      </c>
      <c r="C338" t="s">
        <v>22</v>
      </c>
      <c r="D338" t="s">
        <v>9</v>
      </c>
      <c r="E338" t="s">
        <v>11</v>
      </c>
      <c r="F338" t="s">
        <v>19</v>
      </c>
      <c r="G338" t="s">
        <v>19</v>
      </c>
      <c r="H338" t="s">
        <v>30</v>
      </c>
      <c r="I338" t="s">
        <v>8</v>
      </c>
      <c r="J338">
        <v>15</v>
      </c>
      <c r="K338">
        <v>3050</v>
      </c>
      <c r="L338">
        <v>45750</v>
      </c>
      <c r="M338">
        <v>31214.23</v>
      </c>
      <c r="N338">
        <v>14535.77</v>
      </c>
      <c r="O338" t="str">
        <f>TEXT(Table1[[#This Row],[Order_Date]],"yyy")</f>
        <v>2025</v>
      </c>
    </row>
    <row r="339" spans="1:15" x14ac:dyDescent="0.3">
      <c r="A339" t="s">
        <v>389</v>
      </c>
      <c r="B339" s="1">
        <v>45839</v>
      </c>
      <c r="C339" t="s">
        <v>22</v>
      </c>
      <c r="D339" t="s">
        <v>28</v>
      </c>
      <c r="E339" t="s">
        <v>11</v>
      </c>
      <c r="F339" t="s">
        <v>13</v>
      </c>
      <c r="G339" t="s">
        <v>13</v>
      </c>
      <c r="H339" t="s">
        <v>20</v>
      </c>
      <c r="I339" t="s">
        <v>8</v>
      </c>
      <c r="J339">
        <v>3</v>
      </c>
      <c r="K339">
        <v>212</v>
      </c>
      <c r="L339">
        <v>636</v>
      </c>
      <c r="M339">
        <v>502.29</v>
      </c>
      <c r="N339">
        <v>133.71</v>
      </c>
      <c r="O339" t="str">
        <f>TEXT(Table1[[#This Row],[Order_Date]],"yyy")</f>
        <v>2025</v>
      </c>
    </row>
    <row r="340" spans="1:15" x14ac:dyDescent="0.3">
      <c r="A340" t="s">
        <v>390</v>
      </c>
      <c r="B340" s="1">
        <v>45396</v>
      </c>
      <c r="C340" t="s">
        <v>10</v>
      </c>
      <c r="D340" t="s">
        <v>31</v>
      </c>
      <c r="E340" t="s">
        <v>4</v>
      </c>
      <c r="F340" t="s">
        <v>23</v>
      </c>
      <c r="G340" t="s">
        <v>23</v>
      </c>
      <c r="H340" t="s">
        <v>35</v>
      </c>
      <c r="I340" t="s">
        <v>8</v>
      </c>
      <c r="J340">
        <v>6</v>
      </c>
      <c r="K340">
        <v>3631</v>
      </c>
      <c r="L340">
        <v>21786</v>
      </c>
      <c r="M340">
        <v>14175.14</v>
      </c>
      <c r="N340">
        <v>7610.86</v>
      </c>
      <c r="O340" t="str">
        <f>TEXT(Table1[[#This Row],[Order_Date]],"yyy")</f>
        <v>2024</v>
      </c>
    </row>
    <row r="341" spans="1:15" x14ac:dyDescent="0.3">
      <c r="A341" t="s">
        <v>391</v>
      </c>
      <c r="B341" s="1">
        <v>46003</v>
      </c>
      <c r="C341" t="s">
        <v>17</v>
      </c>
      <c r="D341" t="s">
        <v>28</v>
      </c>
      <c r="E341" t="s">
        <v>18</v>
      </c>
      <c r="F341" t="s">
        <v>26</v>
      </c>
      <c r="G341" t="s">
        <v>26</v>
      </c>
      <c r="H341" t="s">
        <v>7</v>
      </c>
      <c r="I341" t="s">
        <v>15</v>
      </c>
      <c r="J341">
        <v>18</v>
      </c>
      <c r="K341">
        <v>3640</v>
      </c>
      <c r="L341">
        <v>65520</v>
      </c>
      <c r="M341">
        <v>48050.66</v>
      </c>
      <c r="N341">
        <v>17469.34</v>
      </c>
      <c r="O341" t="str">
        <f>TEXT(Table1[[#This Row],[Order_Date]],"yyy")</f>
        <v>2025</v>
      </c>
    </row>
    <row r="342" spans="1:15" x14ac:dyDescent="0.3">
      <c r="A342" t="s">
        <v>392</v>
      </c>
      <c r="B342" s="1">
        <v>45730</v>
      </c>
      <c r="C342" t="s">
        <v>22</v>
      </c>
      <c r="D342" t="s">
        <v>21</v>
      </c>
      <c r="E342" t="s">
        <v>11</v>
      </c>
      <c r="F342" t="s">
        <v>6</v>
      </c>
      <c r="G342" t="s">
        <v>6</v>
      </c>
      <c r="H342" t="s">
        <v>24</v>
      </c>
      <c r="I342" t="s">
        <v>15</v>
      </c>
      <c r="J342">
        <v>6</v>
      </c>
      <c r="K342">
        <v>836</v>
      </c>
      <c r="L342">
        <v>5016</v>
      </c>
      <c r="M342">
        <v>3898.59</v>
      </c>
      <c r="N342">
        <v>1117.4100000000001</v>
      </c>
      <c r="O342" t="str">
        <f>TEXT(Table1[[#This Row],[Order_Date]],"yyy")</f>
        <v>2025</v>
      </c>
    </row>
    <row r="343" spans="1:15" x14ac:dyDescent="0.3">
      <c r="A343" t="s">
        <v>393</v>
      </c>
      <c r="B343" s="1">
        <v>45752</v>
      </c>
      <c r="C343" t="s">
        <v>17</v>
      </c>
      <c r="D343" t="s">
        <v>16</v>
      </c>
      <c r="E343" t="s">
        <v>4</v>
      </c>
      <c r="F343" t="s">
        <v>36</v>
      </c>
      <c r="G343" t="s">
        <v>36</v>
      </c>
      <c r="H343" t="s">
        <v>20</v>
      </c>
      <c r="I343" t="s">
        <v>15</v>
      </c>
      <c r="J343">
        <v>15</v>
      </c>
      <c r="K343">
        <v>1864</v>
      </c>
      <c r="L343">
        <v>27960</v>
      </c>
      <c r="M343">
        <v>17251.87</v>
      </c>
      <c r="N343">
        <v>10708.13</v>
      </c>
      <c r="O343" t="str">
        <f>TEXT(Table1[[#This Row],[Order_Date]],"yyy")</f>
        <v>2025</v>
      </c>
    </row>
    <row r="344" spans="1:15" x14ac:dyDescent="0.3">
      <c r="A344" t="s">
        <v>394</v>
      </c>
      <c r="B344" s="1">
        <v>45587</v>
      </c>
      <c r="C344" t="s">
        <v>22</v>
      </c>
      <c r="D344" t="s">
        <v>16</v>
      </c>
      <c r="E344" t="s">
        <v>4</v>
      </c>
      <c r="F344" t="s">
        <v>32</v>
      </c>
      <c r="G344" t="s">
        <v>32</v>
      </c>
      <c r="H344" t="s">
        <v>24</v>
      </c>
      <c r="I344" t="s">
        <v>15</v>
      </c>
      <c r="J344">
        <v>4</v>
      </c>
      <c r="K344">
        <v>3192</v>
      </c>
      <c r="L344">
        <v>12768</v>
      </c>
      <c r="M344">
        <v>10551.01</v>
      </c>
      <c r="N344">
        <v>2216.9899999999998</v>
      </c>
      <c r="O344" t="str">
        <f>TEXT(Table1[[#This Row],[Order_Date]],"yyy")</f>
        <v>2024</v>
      </c>
    </row>
    <row r="345" spans="1:15" x14ac:dyDescent="0.3">
      <c r="A345" t="s">
        <v>395</v>
      </c>
      <c r="B345" s="1">
        <v>45360</v>
      </c>
      <c r="C345" t="s">
        <v>10</v>
      </c>
      <c r="D345" t="s">
        <v>31</v>
      </c>
      <c r="E345" t="s">
        <v>4</v>
      </c>
      <c r="F345" t="s">
        <v>23</v>
      </c>
      <c r="G345" t="s">
        <v>23</v>
      </c>
      <c r="H345" t="s">
        <v>27</v>
      </c>
      <c r="I345" t="s">
        <v>15</v>
      </c>
      <c r="J345">
        <v>17</v>
      </c>
      <c r="K345">
        <v>3943</v>
      </c>
      <c r="L345">
        <v>67031</v>
      </c>
      <c r="M345">
        <v>40398.019999999997</v>
      </c>
      <c r="N345">
        <v>26632.98</v>
      </c>
      <c r="O345" t="str">
        <f>TEXT(Table1[[#This Row],[Order_Date]],"yyy")</f>
        <v>2024</v>
      </c>
    </row>
    <row r="346" spans="1:15" x14ac:dyDescent="0.3">
      <c r="A346" t="s">
        <v>396</v>
      </c>
      <c r="B346" s="1">
        <v>45815</v>
      </c>
      <c r="C346" t="s">
        <v>3</v>
      </c>
      <c r="D346" t="s">
        <v>25</v>
      </c>
      <c r="E346" t="s">
        <v>11</v>
      </c>
      <c r="F346" t="s">
        <v>19</v>
      </c>
      <c r="G346" t="s">
        <v>19</v>
      </c>
      <c r="H346" t="s">
        <v>20</v>
      </c>
      <c r="I346" t="s">
        <v>8</v>
      </c>
      <c r="J346">
        <v>15</v>
      </c>
      <c r="K346">
        <v>2430</v>
      </c>
      <c r="L346">
        <v>36450</v>
      </c>
      <c r="M346">
        <v>26010.11</v>
      </c>
      <c r="N346">
        <v>10439.89</v>
      </c>
      <c r="O346" t="str">
        <f>TEXT(Table1[[#This Row],[Order_Date]],"yyy")</f>
        <v>2025</v>
      </c>
    </row>
    <row r="347" spans="1:15" x14ac:dyDescent="0.3">
      <c r="A347" t="s">
        <v>397</v>
      </c>
      <c r="B347" s="1">
        <v>45928</v>
      </c>
      <c r="C347" t="s">
        <v>17</v>
      </c>
      <c r="D347" t="s">
        <v>28</v>
      </c>
      <c r="E347" t="s">
        <v>11</v>
      </c>
      <c r="F347" t="s">
        <v>19</v>
      </c>
      <c r="G347" t="s">
        <v>19</v>
      </c>
      <c r="H347" t="s">
        <v>35</v>
      </c>
      <c r="I347" t="s">
        <v>8</v>
      </c>
      <c r="J347">
        <v>1</v>
      </c>
      <c r="K347">
        <v>3450</v>
      </c>
      <c r="L347">
        <v>3450</v>
      </c>
      <c r="M347">
        <v>2052.5300000000002</v>
      </c>
      <c r="N347">
        <v>1397.47</v>
      </c>
      <c r="O347" t="str">
        <f>TEXT(Table1[[#This Row],[Order_Date]],"yyy")</f>
        <v>2025</v>
      </c>
    </row>
    <row r="348" spans="1:15" x14ac:dyDescent="0.3">
      <c r="A348" t="s">
        <v>398</v>
      </c>
      <c r="B348" s="1">
        <v>45567</v>
      </c>
      <c r="C348" t="s">
        <v>17</v>
      </c>
      <c r="D348" t="s">
        <v>31</v>
      </c>
      <c r="E348" t="s">
        <v>18</v>
      </c>
      <c r="F348" t="s">
        <v>26</v>
      </c>
      <c r="G348" t="s">
        <v>26</v>
      </c>
      <c r="H348" t="s">
        <v>7</v>
      </c>
      <c r="I348" t="s">
        <v>15</v>
      </c>
      <c r="J348">
        <v>8</v>
      </c>
      <c r="K348">
        <v>1498</v>
      </c>
      <c r="L348">
        <v>11984</v>
      </c>
      <c r="M348">
        <v>9677.09</v>
      </c>
      <c r="N348">
        <v>2306.91</v>
      </c>
      <c r="O348" t="str">
        <f>TEXT(Table1[[#This Row],[Order_Date]],"yyy")</f>
        <v>2024</v>
      </c>
    </row>
    <row r="349" spans="1:15" x14ac:dyDescent="0.3">
      <c r="A349" t="s">
        <v>399</v>
      </c>
      <c r="B349" s="1">
        <v>45746</v>
      </c>
      <c r="C349" t="s">
        <v>3</v>
      </c>
      <c r="D349" t="s">
        <v>9</v>
      </c>
      <c r="E349" t="s">
        <v>18</v>
      </c>
      <c r="F349" t="s">
        <v>26</v>
      </c>
      <c r="G349" t="s">
        <v>26</v>
      </c>
      <c r="H349" t="s">
        <v>33</v>
      </c>
      <c r="I349" t="s">
        <v>15</v>
      </c>
      <c r="J349">
        <v>2</v>
      </c>
      <c r="K349">
        <v>1347</v>
      </c>
      <c r="L349">
        <v>2694</v>
      </c>
      <c r="M349">
        <v>1970.2</v>
      </c>
      <c r="N349">
        <v>723.8</v>
      </c>
      <c r="O349" t="str">
        <f>TEXT(Table1[[#This Row],[Order_Date]],"yyy")</f>
        <v>2025</v>
      </c>
    </row>
    <row r="350" spans="1:15" x14ac:dyDescent="0.3">
      <c r="A350" t="s">
        <v>400</v>
      </c>
      <c r="B350" s="1">
        <v>45976</v>
      </c>
      <c r="C350" t="s">
        <v>3</v>
      </c>
      <c r="D350" t="s">
        <v>16</v>
      </c>
      <c r="E350" t="s">
        <v>11</v>
      </c>
      <c r="F350" t="s">
        <v>13</v>
      </c>
      <c r="G350" t="s">
        <v>13</v>
      </c>
      <c r="H350" t="s">
        <v>24</v>
      </c>
      <c r="I350" t="s">
        <v>15</v>
      </c>
      <c r="J350">
        <v>18</v>
      </c>
      <c r="K350">
        <v>2250</v>
      </c>
      <c r="L350">
        <v>40500</v>
      </c>
      <c r="M350">
        <v>28172.41</v>
      </c>
      <c r="N350">
        <v>12327.59</v>
      </c>
      <c r="O350" t="str">
        <f>TEXT(Table1[[#This Row],[Order_Date]],"yyy")</f>
        <v>2025</v>
      </c>
    </row>
    <row r="351" spans="1:15" x14ac:dyDescent="0.3">
      <c r="A351" t="s">
        <v>401</v>
      </c>
      <c r="B351" s="1">
        <v>45672</v>
      </c>
      <c r="C351" t="s">
        <v>17</v>
      </c>
      <c r="D351" t="s">
        <v>16</v>
      </c>
      <c r="E351" t="s">
        <v>18</v>
      </c>
      <c r="F351" t="s">
        <v>29</v>
      </c>
      <c r="G351" t="s">
        <v>29</v>
      </c>
      <c r="H351" t="s">
        <v>7</v>
      </c>
      <c r="I351" t="s">
        <v>15</v>
      </c>
      <c r="J351">
        <v>17</v>
      </c>
      <c r="K351">
        <v>2623</v>
      </c>
      <c r="L351">
        <v>44591</v>
      </c>
      <c r="M351">
        <v>29064.7</v>
      </c>
      <c r="N351">
        <v>15526.3</v>
      </c>
      <c r="O351" t="str">
        <f>TEXT(Table1[[#This Row],[Order_Date]],"yyy")</f>
        <v>2025</v>
      </c>
    </row>
    <row r="352" spans="1:15" x14ac:dyDescent="0.3">
      <c r="A352" t="s">
        <v>402</v>
      </c>
      <c r="B352" s="1">
        <v>45843</v>
      </c>
      <c r="C352" t="s">
        <v>22</v>
      </c>
      <c r="D352" t="s">
        <v>25</v>
      </c>
      <c r="E352" t="s">
        <v>18</v>
      </c>
      <c r="F352" t="s">
        <v>34</v>
      </c>
      <c r="G352" t="s">
        <v>34</v>
      </c>
      <c r="H352" t="s">
        <v>7</v>
      </c>
      <c r="I352" t="s">
        <v>15</v>
      </c>
      <c r="J352">
        <v>18</v>
      </c>
      <c r="K352">
        <v>3457</v>
      </c>
      <c r="L352">
        <v>62226</v>
      </c>
      <c r="M352">
        <v>37305.22</v>
      </c>
      <c r="N352">
        <v>24920.78</v>
      </c>
      <c r="O352" t="str">
        <f>TEXT(Table1[[#This Row],[Order_Date]],"yyy")</f>
        <v>2025</v>
      </c>
    </row>
    <row r="353" spans="1:15" x14ac:dyDescent="0.3">
      <c r="A353" t="s">
        <v>403</v>
      </c>
      <c r="B353" s="1">
        <v>45422</v>
      </c>
      <c r="C353" t="s">
        <v>10</v>
      </c>
      <c r="D353" t="s">
        <v>31</v>
      </c>
      <c r="E353" t="s">
        <v>11</v>
      </c>
      <c r="F353" t="s">
        <v>19</v>
      </c>
      <c r="G353" t="s">
        <v>19</v>
      </c>
      <c r="H353" t="s">
        <v>14</v>
      </c>
      <c r="I353" t="s">
        <v>8</v>
      </c>
      <c r="J353">
        <v>4</v>
      </c>
      <c r="K353">
        <v>1419</v>
      </c>
      <c r="L353">
        <v>5676</v>
      </c>
      <c r="M353">
        <v>4120.3500000000004</v>
      </c>
      <c r="N353">
        <v>1555.65</v>
      </c>
      <c r="O353" t="str">
        <f>TEXT(Table1[[#This Row],[Order_Date]],"yyy")</f>
        <v>2024</v>
      </c>
    </row>
    <row r="354" spans="1:15" x14ac:dyDescent="0.3">
      <c r="A354" t="s">
        <v>404</v>
      </c>
      <c r="B354" s="1">
        <v>45526</v>
      </c>
      <c r="C354" t="s">
        <v>22</v>
      </c>
      <c r="D354" t="s">
        <v>28</v>
      </c>
      <c r="E354" t="s">
        <v>18</v>
      </c>
      <c r="F354" t="s">
        <v>34</v>
      </c>
      <c r="G354" t="s">
        <v>34</v>
      </c>
      <c r="H354" t="s">
        <v>33</v>
      </c>
      <c r="I354" t="s">
        <v>15</v>
      </c>
      <c r="J354">
        <v>6</v>
      </c>
      <c r="K354">
        <v>1449</v>
      </c>
      <c r="L354">
        <v>8694</v>
      </c>
      <c r="M354">
        <v>6734.28</v>
      </c>
      <c r="N354">
        <v>1959.72</v>
      </c>
      <c r="O354" t="str">
        <f>TEXT(Table1[[#This Row],[Order_Date]],"yyy")</f>
        <v>2024</v>
      </c>
    </row>
    <row r="355" spans="1:15" x14ac:dyDescent="0.3">
      <c r="A355" t="s">
        <v>405</v>
      </c>
      <c r="B355" s="1">
        <v>45957</v>
      </c>
      <c r="C355" t="s">
        <v>3</v>
      </c>
      <c r="D355" t="s">
        <v>9</v>
      </c>
      <c r="E355" t="s">
        <v>11</v>
      </c>
      <c r="F355" t="s">
        <v>6</v>
      </c>
      <c r="G355" t="s">
        <v>6</v>
      </c>
      <c r="H355" t="s">
        <v>35</v>
      </c>
      <c r="I355" t="s">
        <v>8</v>
      </c>
      <c r="J355">
        <v>16</v>
      </c>
      <c r="K355">
        <v>4183</v>
      </c>
      <c r="L355">
        <v>66928</v>
      </c>
      <c r="M355">
        <v>54510.98</v>
      </c>
      <c r="N355">
        <v>12417.02</v>
      </c>
      <c r="O355" t="str">
        <f>TEXT(Table1[[#This Row],[Order_Date]],"yyy")</f>
        <v>2025</v>
      </c>
    </row>
    <row r="356" spans="1:15" x14ac:dyDescent="0.3">
      <c r="A356" t="s">
        <v>406</v>
      </c>
      <c r="B356" s="1">
        <v>45593</v>
      </c>
      <c r="C356" t="s">
        <v>3</v>
      </c>
      <c r="D356" t="s">
        <v>25</v>
      </c>
      <c r="E356" t="s">
        <v>18</v>
      </c>
      <c r="F356" t="s">
        <v>29</v>
      </c>
      <c r="G356" t="s">
        <v>29</v>
      </c>
      <c r="H356" t="s">
        <v>24</v>
      </c>
      <c r="I356" t="s">
        <v>8</v>
      </c>
      <c r="J356">
        <v>6</v>
      </c>
      <c r="K356">
        <v>4440</v>
      </c>
      <c r="L356">
        <v>26640</v>
      </c>
      <c r="M356">
        <v>18059.34</v>
      </c>
      <c r="N356">
        <v>8580.66</v>
      </c>
      <c r="O356" t="str">
        <f>TEXT(Table1[[#This Row],[Order_Date]],"yyy")</f>
        <v>2024</v>
      </c>
    </row>
    <row r="357" spans="1:15" x14ac:dyDescent="0.3">
      <c r="A357" t="s">
        <v>407</v>
      </c>
      <c r="B357" s="1">
        <v>45889</v>
      </c>
      <c r="C357" t="s">
        <v>10</v>
      </c>
      <c r="D357" t="s">
        <v>9</v>
      </c>
      <c r="E357" t="s">
        <v>4</v>
      </c>
      <c r="F357" t="s">
        <v>36</v>
      </c>
      <c r="G357" t="s">
        <v>36</v>
      </c>
      <c r="H357" t="s">
        <v>33</v>
      </c>
      <c r="I357" t="s">
        <v>15</v>
      </c>
      <c r="J357">
        <v>17</v>
      </c>
      <c r="K357">
        <v>1846</v>
      </c>
      <c r="L357">
        <v>31382</v>
      </c>
      <c r="M357">
        <v>19353.740000000002</v>
      </c>
      <c r="N357">
        <v>12028.26</v>
      </c>
      <c r="O357" t="str">
        <f>TEXT(Table1[[#This Row],[Order_Date]],"yyy")</f>
        <v>2025</v>
      </c>
    </row>
    <row r="358" spans="1:15" x14ac:dyDescent="0.3">
      <c r="A358" t="s">
        <v>408</v>
      </c>
      <c r="B358" s="1">
        <v>45932</v>
      </c>
      <c r="C358" t="s">
        <v>3</v>
      </c>
      <c r="D358" t="s">
        <v>31</v>
      </c>
      <c r="E358" t="s">
        <v>4</v>
      </c>
      <c r="F358" t="s">
        <v>32</v>
      </c>
      <c r="G358" t="s">
        <v>32</v>
      </c>
      <c r="H358" t="s">
        <v>27</v>
      </c>
      <c r="I358" t="s">
        <v>15</v>
      </c>
      <c r="J358">
        <v>1</v>
      </c>
      <c r="K358">
        <v>2370</v>
      </c>
      <c r="L358">
        <v>2370</v>
      </c>
      <c r="M358">
        <v>1730.88</v>
      </c>
      <c r="N358">
        <v>639.12</v>
      </c>
      <c r="O358" t="str">
        <f>TEXT(Table1[[#This Row],[Order_Date]],"yyy")</f>
        <v>2025</v>
      </c>
    </row>
    <row r="359" spans="1:15" x14ac:dyDescent="0.3">
      <c r="A359" t="s">
        <v>409</v>
      </c>
      <c r="B359" s="1">
        <v>45923</v>
      </c>
      <c r="C359" t="s">
        <v>10</v>
      </c>
      <c r="D359" t="s">
        <v>21</v>
      </c>
      <c r="E359" t="s">
        <v>18</v>
      </c>
      <c r="F359" t="s">
        <v>34</v>
      </c>
      <c r="G359" t="s">
        <v>34</v>
      </c>
      <c r="H359" t="s">
        <v>20</v>
      </c>
      <c r="I359" t="s">
        <v>15</v>
      </c>
      <c r="J359">
        <v>20</v>
      </c>
      <c r="K359">
        <v>2486</v>
      </c>
      <c r="L359">
        <v>49720</v>
      </c>
      <c r="M359">
        <v>29936.54</v>
      </c>
      <c r="N359">
        <v>19783.46</v>
      </c>
      <c r="O359" t="str">
        <f>TEXT(Table1[[#This Row],[Order_Date]],"yyy")</f>
        <v>2025</v>
      </c>
    </row>
    <row r="360" spans="1:15" x14ac:dyDescent="0.3">
      <c r="A360" t="s">
        <v>410</v>
      </c>
      <c r="B360" s="1">
        <v>45303</v>
      </c>
      <c r="C360" t="s">
        <v>22</v>
      </c>
      <c r="D360" t="s">
        <v>21</v>
      </c>
      <c r="E360" t="s">
        <v>11</v>
      </c>
      <c r="F360" t="s">
        <v>6</v>
      </c>
      <c r="G360" t="s">
        <v>6</v>
      </c>
      <c r="H360" t="s">
        <v>14</v>
      </c>
      <c r="I360" t="s">
        <v>15</v>
      </c>
      <c r="J360">
        <v>3</v>
      </c>
      <c r="K360">
        <v>4303</v>
      </c>
      <c r="L360">
        <v>12909</v>
      </c>
      <c r="M360">
        <v>8817.39</v>
      </c>
      <c r="N360">
        <v>4091.61</v>
      </c>
      <c r="O360" t="str">
        <f>TEXT(Table1[[#This Row],[Order_Date]],"yyy")</f>
        <v>2024</v>
      </c>
    </row>
    <row r="361" spans="1:15" x14ac:dyDescent="0.3">
      <c r="A361" t="s">
        <v>411</v>
      </c>
      <c r="B361" s="1">
        <v>45428</v>
      </c>
      <c r="C361" t="s">
        <v>3</v>
      </c>
      <c r="D361" t="s">
        <v>31</v>
      </c>
      <c r="E361" t="s">
        <v>4</v>
      </c>
      <c r="F361" t="s">
        <v>32</v>
      </c>
      <c r="G361" t="s">
        <v>32</v>
      </c>
      <c r="H361" t="s">
        <v>27</v>
      </c>
      <c r="I361" t="s">
        <v>8</v>
      </c>
      <c r="J361">
        <v>15</v>
      </c>
      <c r="K361">
        <v>600</v>
      </c>
      <c r="L361">
        <v>9000</v>
      </c>
      <c r="M361">
        <v>5505.17</v>
      </c>
      <c r="N361">
        <v>3494.83</v>
      </c>
      <c r="O361" t="str">
        <f>TEXT(Table1[[#This Row],[Order_Date]],"yyy")</f>
        <v>2024</v>
      </c>
    </row>
    <row r="362" spans="1:15" x14ac:dyDescent="0.3">
      <c r="A362" t="s">
        <v>412</v>
      </c>
      <c r="B362" s="1">
        <v>45379</v>
      </c>
      <c r="C362" t="s">
        <v>3</v>
      </c>
      <c r="D362" t="s">
        <v>16</v>
      </c>
      <c r="E362" t="s">
        <v>18</v>
      </c>
      <c r="F362" t="s">
        <v>26</v>
      </c>
      <c r="G362" t="s">
        <v>26</v>
      </c>
      <c r="H362" t="s">
        <v>30</v>
      </c>
      <c r="I362" t="s">
        <v>8</v>
      </c>
      <c r="J362">
        <v>7</v>
      </c>
      <c r="K362">
        <v>404</v>
      </c>
      <c r="L362">
        <v>2828</v>
      </c>
      <c r="M362">
        <v>1670.75</v>
      </c>
      <c r="N362">
        <v>1157.25</v>
      </c>
      <c r="O362" t="str">
        <f>TEXT(Table1[[#This Row],[Order_Date]],"yyy")</f>
        <v>2024</v>
      </c>
    </row>
    <row r="363" spans="1:15" x14ac:dyDescent="0.3">
      <c r="A363" t="s">
        <v>413</v>
      </c>
      <c r="B363" s="1">
        <v>45447</v>
      </c>
      <c r="C363" t="s">
        <v>10</v>
      </c>
      <c r="D363" t="s">
        <v>25</v>
      </c>
      <c r="E363" t="s">
        <v>11</v>
      </c>
      <c r="F363" t="s">
        <v>19</v>
      </c>
      <c r="G363" t="s">
        <v>19</v>
      </c>
      <c r="H363" t="s">
        <v>35</v>
      </c>
      <c r="I363" t="s">
        <v>15</v>
      </c>
      <c r="J363">
        <v>7</v>
      </c>
      <c r="K363">
        <v>2871</v>
      </c>
      <c r="L363">
        <v>20097</v>
      </c>
      <c r="M363">
        <v>16419.89</v>
      </c>
      <c r="N363">
        <v>3677.11</v>
      </c>
      <c r="O363" t="str">
        <f>TEXT(Table1[[#This Row],[Order_Date]],"yyy")</f>
        <v>2024</v>
      </c>
    </row>
    <row r="364" spans="1:15" x14ac:dyDescent="0.3">
      <c r="A364" t="s">
        <v>414</v>
      </c>
      <c r="B364" s="1">
        <v>45461</v>
      </c>
      <c r="C364" t="s">
        <v>17</v>
      </c>
      <c r="D364" t="s">
        <v>31</v>
      </c>
      <c r="E364" t="s">
        <v>4</v>
      </c>
      <c r="F364" t="s">
        <v>32</v>
      </c>
      <c r="G364" t="s">
        <v>32</v>
      </c>
      <c r="H364" t="s">
        <v>33</v>
      </c>
      <c r="I364" t="s">
        <v>15</v>
      </c>
      <c r="J364">
        <v>9</v>
      </c>
      <c r="K364">
        <v>3371</v>
      </c>
      <c r="L364">
        <v>30339</v>
      </c>
      <c r="M364">
        <v>19240.48</v>
      </c>
      <c r="N364">
        <v>11098.52</v>
      </c>
      <c r="O364" t="str">
        <f>TEXT(Table1[[#This Row],[Order_Date]],"yyy")</f>
        <v>2024</v>
      </c>
    </row>
    <row r="365" spans="1:15" x14ac:dyDescent="0.3">
      <c r="A365" t="s">
        <v>415</v>
      </c>
      <c r="B365" s="1">
        <v>45536</v>
      </c>
      <c r="C365" t="s">
        <v>3</v>
      </c>
      <c r="D365" t="s">
        <v>28</v>
      </c>
      <c r="E365" t="s">
        <v>18</v>
      </c>
      <c r="F365" t="s">
        <v>29</v>
      </c>
      <c r="G365" t="s">
        <v>29</v>
      </c>
      <c r="H365" t="s">
        <v>7</v>
      </c>
      <c r="I365" t="s">
        <v>15</v>
      </c>
      <c r="J365">
        <v>19</v>
      </c>
      <c r="K365">
        <v>2339</v>
      </c>
      <c r="L365">
        <v>44441</v>
      </c>
      <c r="M365">
        <v>31658</v>
      </c>
      <c r="N365">
        <v>12783</v>
      </c>
      <c r="O365" t="str">
        <f>TEXT(Table1[[#This Row],[Order_Date]],"yyy")</f>
        <v>2024</v>
      </c>
    </row>
    <row r="366" spans="1:15" x14ac:dyDescent="0.3">
      <c r="A366" t="s">
        <v>416</v>
      </c>
      <c r="B366" s="1">
        <v>45627</v>
      </c>
      <c r="C366" t="s">
        <v>3</v>
      </c>
      <c r="D366" t="s">
        <v>31</v>
      </c>
      <c r="E366" t="s">
        <v>18</v>
      </c>
      <c r="F366" t="s">
        <v>29</v>
      </c>
      <c r="G366" t="s">
        <v>29</v>
      </c>
      <c r="H366" t="s">
        <v>35</v>
      </c>
      <c r="I366" t="s">
        <v>8</v>
      </c>
      <c r="J366">
        <v>12</v>
      </c>
      <c r="K366">
        <v>4538</v>
      </c>
      <c r="L366">
        <v>54456</v>
      </c>
      <c r="M366">
        <v>39552.449999999997</v>
      </c>
      <c r="N366">
        <v>14903.55</v>
      </c>
      <c r="O366" t="str">
        <f>TEXT(Table1[[#This Row],[Order_Date]],"yyy")</f>
        <v>2024</v>
      </c>
    </row>
    <row r="367" spans="1:15" x14ac:dyDescent="0.3">
      <c r="A367" t="s">
        <v>417</v>
      </c>
      <c r="B367" s="1">
        <v>45576</v>
      </c>
      <c r="C367" t="s">
        <v>3</v>
      </c>
      <c r="D367" t="s">
        <v>9</v>
      </c>
      <c r="E367" t="s">
        <v>11</v>
      </c>
      <c r="F367" t="s">
        <v>19</v>
      </c>
      <c r="G367" t="s">
        <v>19</v>
      </c>
      <c r="H367" t="s">
        <v>30</v>
      </c>
      <c r="I367" t="s">
        <v>15</v>
      </c>
      <c r="J367">
        <v>5</v>
      </c>
      <c r="K367">
        <v>600</v>
      </c>
      <c r="L367">
        <v>3000</v>
      </c>
      <c r="M367">
        <v>2179.75</v>
      </c>
      <c r="N367">
        <v>820.25</v>
      </c>
      <c r="O367" t="str">
        <f>TEXT(Table1[[#This Row],[Order_Date]],"yyy")</f>
        <v>2024</v>
      </c>
    </row>
    <row r="368" spans="1:15" x14ac:dyDescent="0.3">
      <c r="A368" t="s">
        <v>418</v>
      </c>
      <c r="B368" s="1">
        <v>45962</v>
      </c>
      <c r="C368" t="s">
        <v>17</v>
      </c>
      <c r="D368" t="s">
        <v>25</v>
      </c>
      <c r="E368" t="s">
        <v>11</v>
      </c>
      <c r="F368" t="s">
        <v>19</v>
      </c>
      <c r="G368" t="s">
        <v>19</v>
      </c>
      <c r="H368" t="s">
        <v>30</v>
      </c>
      <c r="I368" t="s">
        <v>8</v>
      </c>
      <c r="J368">
        <v>20</v>
      </c>
      <c r="K368">
        <v>3488</v>
      </c>
      <c r="L368">
        <v>69760</v>
      </c>
      <c r="M368">
        <v>44352.62</v>
      </c>
      <c r="N368">
        <v>25407.38</v>
      </c>
      <c r="O368" t="str">
        <f>TEXT(Table1[[#This Row],[Order_Date]],"yyy")</f>
        <v>2025</v>
      </c>
    </row>
    <row r="369" spans="1:15" x14ac:dyDescent="0.3">
      <c r="A369" t="s">
        <v>419</v>
      </c>
      <c r="B369" s="1">
        <v>45898</v>
      </c>
      <c r="C369" t="s">
        <v>10</v>
      </c>
      <c r="D369" t="s">
        <v>28</v>
      </c>
      <c r="E369" t="s">
        <v>11</v>
      </c>
      <c r="F369" t="s">
        <v>13</v>
      </c>
      <c r="G369" t="s">
        <v>13</v>
      </c>
      <c r="H369" t="s">
        <v>33</v>
      </c>
      <c r="I369" t="s">
        <v>8</v>
      </c>
      <c r="J369">
        <v>1</v>
      </c>
      <c r="K369">
        <v>2595</v>
      </c>
      <c r="L369">
        <v>2595</v>
      </c>
      <c r="M369">
        <v>1907.24</v>
      </c>
      <c r="N369">
        <v>687.76</v>
      </c>
      <c r="O369" t="str">
        <f>TEXT(Table1[[#This Row],[Order_Date]],"yyy")</f>
        <v>2025</v>
      </c>
    </row>
    <row r="370" spans="1:15" x14ac:dyDescent="0.3">
      <c r="A370" t="s">
        <v>420</v>
      </c>
      <c r="B370" s="1">
        <v>45826</v>
      </c>
      <c r="C370" t="s">
        <v>22</v>
      </c>
      <c r="D370" t="s">
        <v>16</v>
      </c>
      <c r="E370" t="s">
        <v>11</v>
      </c>
      <c r="F370" t="s">
        <v>19</v>
      </c>
      <c r="G370" t="s">
        <v>19</v>
      </c>
      <c r="H370" t="s">
        <v>33</v>
      </c>
      <c r="I370" t="s">
        <v>15</v>
      </c>
      <c r="J370">
        <v>17</v>
      </c>
      <c r="K370">
        <v>4576</v>
      </c>
      <c r="L370">
        <v>77792</v>
      </c>
      <c r="M370">
        <v>49553.54</v>
      </c>
      <c r="N370">
        <v>28238.46</v>
      </c>
      <c r="O370" t="str">
        <f>TEXT(Table1[[#This Row],[Order_Date]],"yyy")</f>
        <v>2025</v>
      </c>
    </row>
    <row r="371" spans="1:15" x14ac:dyDescent="0.3">
      <c r="A371" t="s">
        <v>421</v>
      </c>
      <c r="B371" s="1">
        <v>45876</v>
      </c>
      <c r="C371" t="s">
        <v>22</v>
      </c>
      <c r="D371" t="s">
        <v>16</v>
      </c>
      <c r="E371" t="s">
        <v>18</v>
      </c>
      <c r="F371" t="s">
        <v>34</v>
      </c>
      <c r="G371" t="s">
        <v>34</v>
      </c>
      <c r="H371" t="s">
        <v>30</v>
      </c>
      <c r="I371" t="s">
        <v>15</v>
      </c>
      <c r="J371">
        <v>16</v>
      </c>
      <c r="K371">
        <v>2150</v>
      </c>
      <c r="L371">
        <v>34400</v>
      </c>
      <c r="M371">
        <v>25310.36</v>
      </c>
      <c r="N371">
        <v>9089.64</v>
      </c>
      <c r="O371" t="str">
        <f>TEXT(Table1[[#This Row],[Order_Date]],"yyy")</f>
        <v>2025</v>
      </c>
    </row>
    <row r="372" spans="1:15" x14ac:dyDescent="0.3">
      <c r="A372" t="s">
        <v>422</v>
      </c>
      <c r="B372" s="1">
        <v>45467</v>
      </c>
      <c r="C372" t="s">
        <v>17</v>
      </c>
      <c r="D372" t="s">
        <v>9</v>
      </c>
      <c r="E372" t="s">
        <v>11</v>
      </c>
      <c r="F372" t="s">
        <v>13</v>
      </c>
      <c r="G372" t="s">
        <v>13</v>
      </c>
      <c r="H372" t="s">
        <v>27</v>
      </c>
      <c r="I372" t="s">
        <v>8</v>
      </c>
      <c r="J372">
        <v>20</v>
      </c>
      <c r="K372">
        <v>2463</v>
      </c>
      <c r="L372">
        <v>49260</v>
      </c>
      <c r="M372">
        <v>40490.339999999997</v>
      </c>
      <c r="N372">
        <v>8769.66</v>
      </c>
      <c r="O372" t="str">
        <f>TEXT(Table1[[#This Row],[Order_Date]],"yyy")</f>
        <v>2024</v>
      </c>
    </row>
    <row r="373" spans="1:15" x14ac:dyDescent="0.3">
      <c r="A373" t="s">
        <v>423</v>
      </c>
      <c r="B373" s="1">
        <v>46004</v>
      </c>
      <c r="C373" t="s">
        <v>10</v>
      </c>
      <c r="D373" t="s">
        <v>31</v>
      </c>
      <c r="E373" t="s">
        <v>18</v>
      </c>
      <c r="F373" t="s">
        <v>29</v>
      </c>
      <c r="G373" t="s">
        <v>29</v>
      </c>
      <c r="H373" t="s">
        <v>7</v>
      </c>
      <c r="I373" t="s">
        <v>15</v>
      </c>
      <c r="J373">
        <v>17</v>
      </c>
      <c r="K373">
        <v>2733</v>
      </c>
      <c r="L373">
        <v>46461</v>
      </c>
      <c r="M373">
        <v>31252.51</v>
      </c>
      <c r="N373">
        <v>15208.49</v>
      </c>
      <c r="O373" t="str">
        <f>TEXT(Table1[[#This Row],[Order_Date]],"yyy")</f>
        <v>2025</v>
      </c>
    </row>
    <row r="374" spans="1:15" x14ac:dyDescent="0.3">
      <c r="A374" t="s">
        <v>424</v>
      </c>
      <c r="B374" s="1">
        <v>45531</v>
      </c>
      <c r="C374" t="s">
        <v>17</v>
      </c>
      <c r="D374" t="s">
        <v>16</v>
      </c>
      <c r="E374" t="s">
        <v>18</v>
      </c>
      <c r="F374" t="s">
        <v>29</v>
      </c>
      <c r="G374" t="s">
        <v>29</v>
      </c>
      <c r="H374" t="s">
        <v>20</v>
      </c>
      <c r="I374" t="s">
        <v>15</v>
      </c>
      <c r="J374">
        <v>7</v>
      </c>
      <c r="K374">
        <v>868</v>
      </c>
      <c r="L374">
        <v>6076</v>
      </c>
      <c r="M374">
        <v>4429.22</v>
      </c>
      <c r="N374">
        <v>1646.78</v>
      </c>
      <c r="O374" t="str">
        <f>TEXT(Table1[[#This Row],[Order_Date]],"yyy")</f>
        <v>2024</v>
      </c>
    </row>
    <row r="375" spans="1:15" x14ac:dyDescent="0.3">
      <c r="A375" t="s">
        <v>425</v>
      </c>
      <c r="B375" s="1">
        <v>45673</v>
      </c>
      <c r="C375" t="s">
        <v>10</v>
      </c>
      <c r="D375" t="s">
        <v>25</v>
      </c>
      <c r="E375" t="s">
        <v>18</v>
      </c>
      <c r="F375" t="s">
        <v>34</v>
      </c>
      <c r="G375" t="s">
        <v>34</v>
      </c>
      <c r="H375" t="s">
        <v>24</v>
      </c>
      <c r="I375" t="s">
        <v>8</v>
      </c>
      <c r="J375">
        <v>5</v>
      </c>
      <c r="K375">
        <v>1896</v>
      </c>
      <c r="L375">
        <v>9480</v>
      </c>
      <c r="M375">
        <v>7688.74</v>
      </c>
      <c r="N375">
        <v>1791.26</v>
      </c>
      <c r="O375" t="str">
        <f>TEXT(Table1[[#This Row],[Order_Date]],"yyy")</f>
        <v>2025</v>
      </c>
    </row>
    <row r="376" spans="1:15" x14ac:dyDescent="0.3">
      <c r="A376" t="s">
        <v>426</v>
      </c>
      <c r="B376" s="1">
        <v>45766</v>
      </c>
      <c r="C376" t="s">
        <v>10</v>
      </c>
      <c r="D376" t="s">
        <v>31</v>
      </c>
      <c r="E376" t="s">
        <v>18</v>
      </c>
      <c r="F376" t="s">
        <v>34</v>
      </c>
      <c r="G376" t="s">
        <v>34</v>
      </c>
      <c r="H376" t="s">
        <v>20</v>
      </c>
      <c r="I376" t="s">
        <v>15</v>
      </c>
      <c r="J376">
        <v>15</v>
      </c>
      <c r="K376">
        <v>4733</v>
      </c>
      <c r="L376">
        <v>70995</v>
      </c>
      <c r="M376">
        <v>50773.87</v>
      </c>
      <c r="N376">
        <v>20221.13</v>
      </c>
      <c r="O376" t="str">
        <f>TEXT(Table1[[#This Row],[Order_Date]],"yyy")</f>
        <v>2025</v>
      </c>
    </row>
    <row r="377" spans="1:15" x14ac:dyDescent="0.3">
      <c r="A377" t="s">
        <v>427</v>
      </c>
      <c r="B377" s="1">
        <v>45719</v>
      </c>
      <c r="C377" t="s">
        <v>17</v>
      </c>
      <c r="D377" t="s">
        <v>25</v>
      </c>
      <c r="E377" t="s">
        <v>11</v>
      </c>
      <c r="F377" t="s">
        <v>6</v>
      </c>
      <c r="G377" t="s">
        <v>6</v>
      </c>
      <c r="H377" t="s">
        <v>35</v>
      </c>
      <c r="I377" t="s">
        <v>15</v>
      </c>
      <c r="J377">
        <v>3</v>
      </c>
      <c r="K377">
        <v>1522</v>
      </c>
      <c r="L377">
        <v>4566</v>
      </c>
      <c r="M377">
        <v>3416.21</v>
      </c>
      <c r="N377">
        <v>1149.79</v>
      </c>
      <c r="O377" t="str">
        <f>TEXT(Table1[[#This Row],[Order_Date]],"yyy")</f>
        <v>2025</v>
      </c>
    </row>
    <row r="378" spans="1:15" x14ac:dyDescent="0.3">
      <c r="A378" t="s">
        <v>428</v>
      </c>
      <c r="B378" s="1">
        <v>45944</v>
      </c>
      <c r="C378" t="s">
        <v>17</v>
      </c>
      <c r="D378" t="s">
        <v>25</v>
      </c>
      <c r="E378" t="s">
        <v>18</v>
      </c>
      <c r="F378" t="s">
        <v>34</v>
      </c>
      <c r="G378" t="s">
        <v>34</v>
      </c>
      <c r="H378" t="s">
        <v>30</v>
      </c>
      <c r="I378" t="s">
        <v>15</v>
      </c>
      <c r="J378">
        <v>9</v>
      </c>
      <c r="K378">
        <v>4868</v>
      </c>
      <c r="L378">
        <v>43812</v>
      </c>
      <c r="M378">
        <v>31037.119999999999</v>
      </c>
      <c r="N378">
        <v>12774.88</v>
      </c>
      <c r="O378" t="str">
        <f>TEXT(Table1[[#This Row],[Order_Date]],"yyy")</f>
        <v>2025</v>
      </c>
    </row>
    <row r="379" spans="1:15" x14ac:dyDescent="0.3">
      <c r="A379" t="s">
        <v>429</v>
      </c>
      <c r="B379" s="1">
        <v>45906</v>
      </c>
      <c r="C379" t="s">
        <v>3</v>
      </c>
      <c r="D379" t="s">
        <v>21</v>
      </c>
      <c r="E379" t="s">
        <v>4</v>
      </c>
      <c r="F379" t="s">
        <v>36</v>
      </c>
      <c r="G379" t="s">
        <v>36</v>
      </c>
      <c r="H379" t="s">
        <v>14</v>
      </c>
      <c r="I379" t="s">
        <v>15</v>
      </c>
      <c r="J379">
        <v>19</v>
      </c>
      <c r="K379">
        <v>4333</v>
      </c>
      <c r="L379">
        <v>82327</v>
      </c>
      <c r="M379">
        <v>66148.53</v>
      </c>
      <c r="N379">
        <v>16178.47</v>
      </c>
      <c r="O379" t="str">
        <f>TEXT(Table1[[#This Row],[Order_Date]],"yyy")</f>
        <v>2025</v>
      </c>
    </row>
    <row r="380" spans="1:15" x14ac:dyDescent="0.3">
      <c r="A380" t="s">
        <v>430</v>
      </c>
      <c r="B380" s="1">
        <v>45334</v>
      </c>
      <c r="C380" t="s">
        <v>3</v>
      </c>
      <c r="D380" t="s">
        <v>31</v>
      </c>
      <c r="E380" t="s">
        <v>4</v>
      </c>
      <c r="F380" t="s">
        <v>23</v>
      </c>
      <c r="G380" t="s">
        <v>23</v>
      </c>
      <c r="H380" t="s">
        <v>14</v>
      </c>
      <c r="I380" t="s">
        <v>8</v>
      </c>
      <c r="J380">
        <v>12</v>
      </c>
      <c r="K380">
        <v>2929</v>
      </c>
      <c r="L380">
        <v>35148</v>
      </c>
      <c r="M380">
        <v>29251</v>
      </c>
      <c r="N380">
        <v>5897</v>
      </c>
      <c r="O380" t="str">
        <f>TEXT(Table1[[#This Row],[Order_Date]],"yyy")</f>
        <v>2024</v>
      </c>
    </row>
    <row r="381" spans="1:15" x14ac:dyDescent="0.3">
      <c r="A381" t="s">
        <v>431</v>
      </c>
      <c r="B381" s="1">
        <v>46001</v>
      </c>
      <c r="C381" t="s">
        <v>22</v>
      </c>
      <c r="D381" t="s">
        <v>25</v>
      </c>
      <c r="E381" t="s">
        <v>11</v>
      </c>
      <c r="F381" t="s">
        <v>19</v>
      </c>
      <c r="G381" t="s">
        <v>19</v>
      </c>
      <c r="H381" t="s">
        <v>33</v>
      </c>
      <c r="I381" t="s">
        <v>15</v>
      </c>
      <c r="J381">
        <v>9</v>
      </c>
      <c r="K381">
        <v>3414</v>
      </c>
      <c r="L381">
        <v>30726</v>
      </c>
      <c r="M381">
        <v>25747.24</v>
      </c>
      <c r="N381">
        <v>4978.76</v>
      </c>
      <c r="O381" t="str">
        <f>TEXT(Table1[[#This Row],[Order_Date]],"yyy")</f>
        <v>2025</v>
      </c>
    </row>
    <row r="382" spans="1:15" x14ac:dyDescent="0.3">
      <c r="A382" t="s">
        <v>432</v>
      </c>
      <c r="B382" s="1">
        <v>45741</v>
      </c>
      <c r="C382" t="s">
        <v>22</v>
      </c>
      <c r="D382" t="s">
        <v>9</v>
      </c>
      <c r="E382" t="s">
        <v>11</v>
      </c>
      <c r="F382" t="s">
        <v>6</v>
      </c>
      <c r="G382" t="s">
        <v>6</v>
      </c>
      <c r="H382" t="s">
        <v>24</v>
      </c>
      <c r="I382" t="s">
        <v>8</v>
      </c>
      <c r="J382">
        <v>3</v>
      </c>
      <c r="K382">
        <v>2902</v>
      </c>
      <c r="L382">
        <v>8706</v>
      </c>
      <c r="M382">
        <v>6467.38</v>
      </c>
      <c r="N382">
        <v>2238.62</v>
      </c>
      <c r="O382" t="str">
        <f>TEXT(Table1[[#This Row],[Order_Date]],"yyy")</f>
        <v>2025</v>
      </c>
    </row>
    <row r="383" spans="1:15" x14ac:dyDescent="0.3">
      <c r="A383" t="s">
        <v>433</v>
      </c>
      <c r="B383" s="1">
        <v>45809</v>
      </c>
      <c r="C383" t="s">
        <v>3</v>
      </c>
      <c r="D383" t="s">
        <v>9</v>
      </c>
      <c r="E383" t="s">
        <v>4</v>
      </c>
      <c r="F383" t="s">
        <v>36</v>
      </c>
      <c r="G383" t="s">
        <v>36</v>
      </c>
      <c r="H383" t="s">
        <v>7</v>
      </c>
      <c r="I383" t="s">
        <v>15</v>
      </c>
      <c r="J383">
        <v>10</v>
      </c>
      <c r="K383">
        <v>2559</v>
      </c>
      <c r="L383">
        <v>25590</v>
      </c>
      <c r="M383">
        <v>20372.009999999998</v>
      </c>
      <c r="N383">
        <v>5217.99</v>
      </c>
      <c r="O383" t="str">
        <f>TEXT(Table1[[#This Row],[Order_Date]],"yyy")</f>
        <v>2025</v>
      </c>
    </row>
    <row r="384" spans="1:15" x14ac:dyDescent="0.3">
      <c r="A384" t="s">
        <v>434</v>
      </c>
      <c r="B384" s="1">
        <v>45343</v>
      </c>
      <c r="C384" t="s">
        <v>22</v>
      </c>
      <c r="D384" t="s">
        <v>9</v>
      </c>
      <c r="E384" t="s">
        <v>4</v>
      </c>
      <c r="F384" t="s">
        <v>36</v>
      </c>
      <c r="G384" t="s">
        <v>36</v>
      </c>
      <c r="H384" t="s">
        <v>35</v>
      </c>
      <c r="I384" t="s">
        <v>8</v>
      </c>
      <c r="J384">
        <v>3</v>
      </c>
      <c r="K384">
        <v>1763</v>
      </c>
      <c r="L384">
        <v>5289</v>
      </c>
      <c r="M384">
        <v>3462.72</v>
      </c>
      <c r="N384">
        <v>1826.28</v>
      </c>
      <c r="O384" t="str">
        <f>TEXT(Table1[[#This Row],[Order_Date]],"yyy")</f>
        <v>2024</v>
      </c>
    </row>
    <row r="385" spans="1:15" x14ac:dyDescent="0.3">
      <c r="A385" t="s">
        <v>435</v>
      </c>
      <c r="B385" s="1">
        <v>45694</v>
      </c>
      <c r="C385" t="s">
        <v>22</v>
      </c>
      <c r="D385" t="s">
        <v>31</v>
      </c>
      <c r="E385" t="s">
        <v>18</v>
      </c>
      <c r="F385" t="s">
        <v>26</v>
      </c>
      <c r="G385" t="s">
        <v>26</v>
      </c>
      <c r="H385" t="s">
        <v>27</v>
      </c>
      <c r="I385" t="s">
        <v>8</v>
      </c>
      <c r="J385">
        <v>6</v>
      </c>
      <c r="K385">
        <v>4083</v>
      </c>
      <c r="L385">
        <v>24498</v>
      </c>
      <c r="M385">
        <v>17780.13</v>
      </c>
      <c r="N385">
        <v>6717.87</v>
      </c>
      <c r="O385" t="str">
        <f>TEXT(Table1[[#This Row],[Order_Date]],"yyy")</f>
        <v>2025</v>
      </c>
    </row>
    <row r="386" spans="1:15" x14ac:dyDescent="0.3">
      <c r="A386" t="s">
        <v>436</v>
      </c>
      <c r="B386" s="1">
        <v>45801</v>
      </c>
      <c r="C386" t="s">
        <v>22</v>
      </c>
      <c r="D386" t="s">
        <v>16</v>
      </c>
      <c r="E386" t="s">
        <v>4</v>
      </c>
      <c r="F386" t="s">
        <v>23</v>
      </c>
      <c r="G386" t="s">
        <v>23</v>
      </c>
      <c r="H386" t="s">
        <v>35</v>
      </c>
      <c r="I386" t="s">
        <v>8</v>
      </c>
      <c r="J386">
        <v>1</v>
      </c>
      <c r="K386">
        <v>3649</v>
      </c>
      <c r="L386">
        <v>3649</v>
      </c>
      <c r="M386">
        <v>2447.2800000000002</v>
      </c>
      <c r="N386">
        <v>1201.72</v>
      </c>
      <c r="O386" t="str">
        <f>TEXT(Table1[[#This Row],[Order_Date]],"yyy")</f>
        <v>2025</v>
      </c>
    </row>
    <row r="387" spans="1:15" x14ac:dyDescent="0.3">
      <c r="A387" t="s">
        <v>437</v>
      </c>
      <c r="B387" s="1">
        <v>45737</v>
      </c>
      <c r="C387" t="s">
        <v>10</v>
      </c>
      <c r="D387" t="s">
        <v>25</v>
      </c>
      <c r="E387" t="s">
        <v>4</v>
      </c>
      <c r="F387" t="s">
        <v>23</v>
      </c>
      <c r="G387" t="s">
        <v>23</v>
      </c>
      <c r="H387" t="s">
        <v>33</v>
      </c>
      <c r="I387" t="s">
        <v>8</v>
      </c>
      <c r="J387">
        <v>19</v>
      </c>
      <c r="K387">
        <v>289</v>
      </c>
      <c r="L387">
        <v>5491</v>
      </c>
      <c r="M387">
        <v>4589.38</v>
      </c>
      <c r="N387">
        <v>901.62</v>
      </c>
      <c r="O387" t="str">
        <f>TEXT(Table1[[#This Row],[Order_Date]],"yyy")</f>
        <v>2025</v>
      </c>
    </row>
    <row r="388" spans="1:15" x14ac:dyDescent="0.3">
      <c r="A388" t="s">
        <v>438</v>
      </c>
      <c r="B388" s="1">
        <v>45484</v>
      </c>
      <c r="C388" t="s">
        <v>10</v>
      </c>
      <c r="D388" t="s">
        <v>31</v>
      </c>
      <c r="E388" t="s">
        <v>4</v>
      </c>
      <c r="F388" t="s">
        <v>32</v>
      </c>
      <c r="G388" t="s">
        <v>32</v>
      </c>
      <c r="H388" t="s">
        <v>35</v>
      </c>
      <c r="I388" t="s">
        <v>8</v>
      </c>
      <c r="J388">
        <v>8</v>
      </c>
      <c r="K388">
        <v>608</v>
      </c>
      <c r="L388">
        <v>4864</v>
      </c>
      <c r="M388">
        <v>3428.78</v>
      </c>
      <c r="N388">
        <v>1435.22</v>
      </c>
      <c r="O388" t="str">
        <f>TEXT(Table1[[#This Row],[Order_Date]],"yyy")</f>
        <v>2024</v>
      </c>
    </row>
    <row r="389" spans="1:15" x14ac:dyDescent="0.3">
      <c r="A389" t="s">
        <v>439</v>
      </c>
      <c r="B389" s="1">
        <v>45698</v>
      </c>
      <c r="C389" t="s">
        <v>22</v>
      </c>
      <c r="D389" t="s">
        <v>28</v>
      </c>
      <c r="E389" t="s">
        <v>4</v>
      </c>
      <c r="F389" t="s">
        <v>36</v>
      </c>
      <c r="G389" t="s">
        <v>36</v>
      </c>
      <c r="H389" t="s">
        <v>33</v>
      </c>
      <c r="I389" t="s">
        <v>8</v>
      </c>
      <c r="J389">
        <v>2</v>
      </c>
      <c r="K389">
        <v>2840</v>
      </c>
      <c r="L389">
        <v>5680</v>
      </c>
      <c r="M389">
        <v>4810.0200000000004</v>
      </c>
      <c r="N389">
        <v>869.98</v>
      </c>
      <c r="O389" t="str">
        <f>TEXT(Table1[[#This Row],[Order_Date]],"yyy")</f>
        <v>2025</v>
      </c>
    </row>
    <row r="390" spans="1:15" x14ac:dyDescent="0.3">
      <c r="A390" t="s">
        <v>440</v>
      </c>
      <c r="B390" s="1">
        <v>45715</v>
      </c>
      <c r="C390" t="s">
        <v>22</v>
      </c>
      <c r="D390" t="s">
        <v>21</v>
      </c>
      <c r="E390" t="s">
        <v>4</v>
      </c>
      <c r="F390" t="s">
        <v>36</v>
      </c>
      <c r="G390" t="s">
        <v>36</v>
      </c>
      <c r="H390" t="s">
        <v>35</v>
      </c>
      <c r="I390" t="s">
        <v>15</v>
      </c>
      <c r="J390">
        <v>8</v>
      </c>
      <c r="K390">
        <v>4842</v>
      </c>
      <c r="L390">
        <v>38736</v>
      </c>
      <c r="M390">
        <v>24004.02</v>
      </c>
      <c r="N390">
        <v>14731.98</v>
      </c>
      <c r="O390" t="str">
        <f>TEXT(Table1[[#This Row],[Order_Date]],"yyy")</f>
        <v>2025</v>
      </c>
    </row>
    <row r="391" spans="1:15" x14ac:dyDescent="0.3">
      <c r="A391" t="s">
        <v>441</v>
      </c>
      <c r="B391" s="1">
        <v>45481</v>
      </c>
      <c r="C391" t="s">
        <v>22</v>
      </c>
      <c r="D391" t="s">
        <v>16</v>
      </c>
      <c r="E391" t="s">
        <v>4</v>
      </c>
      <c r="F391" t="s">
        <v>36</v>
      </c>
      <c r="G391" t="s">
        <v>36</v>
      </c>
      <c r="H391" t="s">
        <v>20</v>
      </c>
      <c r="I391" t="s">
        <v>15</v>
      </c>
      <c r="J391">
        <v>13</v>
      </c>
      <c r="K391">
        <v>4281</v>
      </c>
      <c r="L391">
        <v>55653</v>
      </c>
      <c r="M391">
        <v>40438.949999999997</v>
      </c>
      <c r="N391">
        <v>15214.05</v>
      </c>
      <c r="O391" t="str">
        <f>TEXT(Table1[[#This Row],[Order_Date]],"yyy")</f>
        <v>2024</v>
      </c>
    </row>
    <row r="392" spans="1:15" x14ac:dyDescent="0.3">
      <c r="A392" t="s">
        <v>442</v>
      </c>
      <c r="B392" s="1">
        <v>45926</v>
      </c>
      <c r="C392" t="s">
        <v>17</v>
      </c>
      <c r="D392" t="s">
        <v>9</v>
      </c>
      <c r="E392" t="s">
        <v>18</v>
      </c>
      <c r="F392" t="s">
        <v>26</v>
      </c>
      <c r="G392" t="s">
        <v>26</v>
      </c>
      <c r="H392" t="s">
        <v>33</v>
      </c>
      <c r="I392" t="s">
        <v>15</v>
      </c>
      <c r="J392">
        <v>7</v>
      </c>
      <c r="K392">
        <v>1393</v>
      </c>
      <c r="L392">
        <v>9751</v>
      </c>
      <c r="M392">
        <v>5500.65</v>
      </c>
      <c r="N392">
        <v>4250.3500000000004</v>
      </c>
      <c r="O392" t="str">
        <f>TEXT(Table1[[#This Row],[Order_Date]],"yyy")</f>
        <v>2025</v>
      </c>
    </row>
    <row r="393" spans="1:15" x14ac:dyDescent="0.3">
      <c r="A393" t="s">
        <v>443</v>
      </c>
      <c r="B393" s="1">
        <v>45772</v>
      </c>
      <c r="C393" t="s">
        <v>22</v>
      </c>
      <c r="D393" t="s">
        <v>21</v>
      </c>
      <c r="E393" t="s">
        <v>11</v>
      </c>
      <c r="F393" t="s">
        <v>13</v>
      </c>
      <c r="G393" t="s">
        <v>13</v>
      </c>
      <c r="H393" t="s">
        <v>33</v>
      </c>
      <c r="I393" t="s">
        <v>8</v>
      </c>
      <c r="J393">
        <v>12</v>
      </c>
      <c r="K393">
        <v>2022</v>
      </c>
      <c r="L393">
        <v>24264</v>
      </c>
      <c r="M393">
        <v>15564.48</v>
      </c>
      <c r="N393">
        <v>8699.52</v>
      </c>
      <c r="O393" t="str">
        <f>TEXT(Table1[[#This Row],[Order_Date]],"yyy")</f>
        <v>2025</v>
      </c>
    </row>
    <row r="394" spans="1:15" x14ac:dyDescent="0.3">
      <c r="A394" t="s">
        <v>444</v>
      </c>
      <c r="B394" s="1">
        <v>45294</v>
      </c>
      <c r="C394" t="s">
        <v>17</v>
      </c>
      <c r="D394" t="s">
        <v>9</v>
      </c>
      <c r="E394" t="s">
        <v>4</v>
      </c>
      <c r="F394" t="s">
        <v>23</v>
      </c>
      <c r="G394" t="s">
        <v>23</v>
      </c>
      <c r="H394" t="s">
        <v>20</v>
      </c>
      <c r="I394" t="s">
        <v>15</v>
      </c>
      <c r="J394">
        <v>2</v>
      </c>
      <c r="K394">
        <v>2279</v>
      </c>
      <c r="L394">
        <v>4558</v>
      </c>
      <c r="M394">
        <v>2714.52</v>
      </c>
      <c r="N394">
        <v>1843.48</v>
      </c>
      <c r="O394" t="str">
        <f>TEXT(Table1[[#This Row],[Order_Date]],"yyy")</f>
        <v>2024</v>
      </c>
    </row>
    <row r="395" spans="1:15" x14ac:dyDescent="0.3">
      <c r="A395" t="s">
        <v>445</v>
      </c>
      <c r="B395" s="1">
        <v>45849</v>
      </c>
      <c r="C395" t="s">
        <v>17</v>
      </c>
      <c r="D395" t="s">
        <v>21</v>
      </c>
      <c r="E395" t="s">
        <v>18</v>
      </c>
      <c r="F395" t="s">
        <v>26</v>
      </c>
      <c r="G395" t="s">
        <v>26</v>
      </c>
      <c r="H395" t="s">
        <v>33</v>
      </c>
      <c r="I395" t="s">
        <v>15</v>
      </c>
      <c r="J395">
        <v>16</v>
      </c>
      <c r="K395">
        <v>1597</v>
      </c>
      <c r="L395">
        <v>25552</v>
      </c>
      <c r="M395">
        <v>21699.66</v>
      </c>
      <c r="N395">
        <v>3852.34</v>
      </c>
      <c r="O395" t="str">
        <f>TEXT(Table1[[#This Row],[Order_Date]],"yyy")</f>
        <v>2025</v>
      </c>
    </row>
    <row r="396" spans="1:15" x14ac:dyDescent="0.3">
      <c r="A396" t="s">
        <v>446</v>
      </c>
      <c r="B396" s="1">
        <v>45722</v>
      </c>
      <c r="C396" t="s">
        <v>3</v>
      </c>
      <c r="D396" t="s">
        <v>31</v>
      </c>
      <c r="E396" t="s">
        <v>11</v>
      </c>
      <c r="F396" t="s">
        <v>19</v>
      </c>
      <c r="G396" t="s">
        <v>19</v>
      </c>
      <c r="H396" t="s">
        <v>27</v>
      </c>
      <c r="I396" t="s">
        <v>15</v>
      </c>
      <c r="J396">
        <v>20</v>
      </c>
      <c r="K396">
        <v>1800</v>
      </c>
      <c r="L396">
        <v>36000</v>
      </c>
      <c r="M396">
        <v>23157.63</v>
      </c>
      <c r="N396">
        <v>12842.37</v>
      </c>
      <c r="O396" t="str">
        <f>TEXT(Table1[[#This Row],[Order_Date]],"yyy")</f>
        <v>2025</v>
      </c>
    </row>
    <row r="397" spans="1:15" x14ac:dyDescent="0.3">
      <c r="A397" t="s">
        <v>447</v>
      </c>
      <c r="B397" s="1">
        <v>45714</v>
      </c>
      <c r="C397" t="s">
        <v>10</v>
      </c>
      <c r="D397" t="s">
        <v>9</v>
      </c>
      <c r="E397" t="s">
        <v>18</v>
      </c>
      <c r="F397" t="s">
        <v>29</v>
      </c>
      <c r="G397" t="s">
        <v>29</v>
      </c>
      <c r="H397" t="s">
        <v>20</v>
      </c>
      <c r="I397" t="s">
        <v>15</v>
      </c>
      <c r="J397">
        <v>19</v>
      </c>
      <c r="K397">
        <v>3327</v>
      </c>
      <c r="L397">
        <v>63213</v>
      </c>
      <c r="M397">
        <v>35210.06</v>
      </c>
      <c r="N397">
        <v>28002.94</v>
      </c>
      <c r="O397" t="str">
        <f>TEXT(Table1[[#This Row],[Order_Date]],"yyy")</f>
        <v>2025</v>
      </c>
    </row>
    <row r="398" spans="1:15" x14ac:dyDescent="0.3">
      <c r="A398" t="s">
        <v>448</v>
      </c>
      <c r="B398" s="1">
        <v>45960</v>
      </c>
      <c r="C398" t="s">
        <v>17</v>
      </c>
      <c r="D398" t="s">
        <v>31</v>
      </c>
      <c r="E398" t="s">
        <v>4</v>
      </c>
      <c r="F398" t="s">
        <v>36</v>
      </c>
      <c r="G398" t="s">
        <v>36</v>
      </c>
      <c r="H398" t="s">
        <v>27</v>
      </c>
      <c r="I398" t="s">
        <v>8</v>
      </c>
      <c r="J398">
        <v>14</v>
      </c>
      <c r="K398">
        <v>2535</v>
      </c>
      <c r="L398">
        <v>35490</v>
      </c>
      <c r="M398">
        <v>22630.66</v>
      </c>
      <c r="N398">
        <v>12859.34</v>
      </c>
      <c r="O398" t="str">
        <f>TEXT(Table1[[#This Row],[Order_Date]],"yyy")</f>
        <v>2025</v>
      </c>
    </row>
    <row r="399" spans="1:15" x14ac:dyDescent="0.3">
      <c r="A399" t="s">
        <v>449</v>
      </c>
      <c r="B399" s="1">
        <v>45714</v>
      </c>
      <c r="C399" t="s">
        <v>17</v>
      </c>
      <c r="D399" t="s">
        <v>16</v>
      </c>
      <c r="E399" t="s">
        <v>11</v>
      </c>
      <c r="F399" t="s">
        <v>19</v>
      </c>
      <c r="G399" t="s">
        <v>19</v>
      </c>
      <c r="H399" t="s">
        <v>30</v>
      </c>
      <c r="I399" t="s">
        <v>15</v>
      </c>
      <c r="J399">
        <v>15</v>
      </c>
      <c r="K399">
        <v>3433</v>
      </c>
      <c r="L399">
        <v>51495</v>
      </c>
      <c r="M399">
        <v>37669.050000000003</v>
      </c>
      <c r="N399">
        <v>13825.95</v>
      </c>
      <c r="O399" t="str">
        <f>TEXT(Table1[[#This Row],[Order_Date]],"yyy")</f>
        <v>2025</v>
      </c>
    </row>
    <row r="400" spans="1:15" x14ac:dyDescent="0.3">
      <c r="A400" t="s">
        <v>450</v>
      </c>
      <c r="B400" s="1">
        <v>45450</v>
      </c>
      <c r="C400" t="s">
        <v>17</v>
      </c>
      <c r="D400" t="s">
        <v>21</v>
      </c>
      <c r="E400" t="s">
        <v>11</v>
      </c>
      <c r="F400" t="s">
        <v>6</v>
      </c>
      <c r="G400" t="s">
        <v>6</v>
      </c>
      <c r="H400" t="s">
        <v>20</v>
      </c>
      <c r="I400" t="s">
        <v>15</v>
      </c>
      <c r="J400">
        <v>1</v>
      </c>
      <c r="K400">
        <v>4972</v>
      </c>
      <c r="L400">
        <v>4972</v>
      </c>
      <c r="M400">
        <v>3116.47</v>
      </c>
      <c r="N400">
        <v>1855.53</v>
      </c>
      <c r="O400" t="str">
        <f>TEXT(Table1[[#This Row],[Order_Date]],"yyy")</f>
        <v>2024</v>
      </c>
    </row>
    <row r="401" spans="1:15" x14ac:dyDescent="0.3">
      <c r="A401" t="s">
        <v>451</v>
      </c>
      <c r="B401" s="1">
        <v>45705</v>
      </c>
      <c r="C401" t="s">
        <v>22</v>
      </c>
      <c r="D401" t="s">
        <v>9</v>
      </c>
      <c r="E401" t="s">
        <v>11</v>
      </c>
      <c r="F401" t="s">
        <v>13</v>
      </c>
      <c r="G401" t="s">
        <v>13</v>
      </c>
      <c r="H401" t="s">
        <v>20</v>
      </c>
      <c r="I401" t="s">
        <v>15</v>
      </c>
      <c r="J401">
        <v>2</v>
      </c>
      <c r="K401">
        <v>3745</v>
      </c>
      <c r="L401">
        <v>7490</v>
      </c>
      <c r="M401">
        <v>6145.55</v>
      </c>
      <c r="N401">
        <v>1344.45</v>
      </c>
      <c r="O401" t="str">
        <f>TEXT(Table1[[#This Row],[Order_Date]],"yyy")</f>
        <v>2025</v>
      </c>
    </row>
    <row r="402" spans="1:15" x14ac:dyDescent="0.3">
      <c r="A402" t="s">
        <v>452</v>
      </c>
      <c r="B402" s="1">
        <v>45782</v>
      </c>
      <c r="C402" t="s">
        <v>3</v>
      </c>
      <c r="D402" t="s">
        <v>16</v>
      </c>
      <c r="E402" t="s">
        <v>4</v>
      </c>
      <c r="F402" t="s">
        <v>23</v>
      </c>
      <c r="G402" t="s">
        <v>23</v>
      </c>
      <c r="H402" t="s">
        <v>30</v>
      </c>
      <c r="I402" t="s">
        <v>15</v>
      </c>
      <c r="J402">
        <v>7</v>
      </c>
      <c r="K402">
        <v>2234</v>
      </c>
      <c r="L402">
        <v>15638</v>
      </c>
      <c r="M402">
        <v>11631.41</v>
      </c>
      <c r="N402">
        <v>4006.59</v>
      </c>
      <c r="O402" t="str">
        <f>TEXT(Table1[[#This Row],[Order_Date]],"yyy")</f>
        <v>2025</v>
      </c>
    </row>
    <row r="403" spans="1:15" x14ac:dyDescent="0.3">
      <c r="A403" t="s">
        <v>453</v>
      </c>
      <c r="B403" s="1">
        <v>45726</v>
      </c>
      <c r="C403" t="s">
        <v>22</v>
      </c>
      <c r="D403" t="s">
        <v>9</v>
      </c>
      <c r="E403" t="s">
        <v>4</v>
      </c>
      <c r="F403" t="s">
        <v>36</v>
      </c>
      <c r="G403" t="s">
        <v>36</v>
      </c>
      <c r="H403" t="s">
        <v>35</v>
      </c>
      <c r="I403" t="s">
        <v>15</v>
      </c>
      <c r="J403">
        <v>19</v>
      </c>
      <c r="K403">
        <v>1842</v>
      </c>
      <c r="L403">
        <v>34998</v>
      </c>
      <c r="M403">
        <v>29696.799999999999</v>
      </c>
      <c r="N403">
        <v>5301.2</v>
      </c>
      <c r="O403" t="str">
        <f>TEXT(Table1[[#This Row],[Order_Date]],"yyy")</f>
        <v>2025</v>
      </c>
    </row>
    <row r="404" spans="1:15" x14ac:dyDescent="0.3">
      <c r="A404" t="s">
        <v>454</v>
      </c>
      <c r="B404" s="1">
        <v>45321</v>
      </c>
      <c r="C404" t="s">
        <v>10</v>
      </c>
      <c r="D404" t="s">
        <v>9</v>
      </c>
      <c r="E404" t="s">
        <v>18</v>
      </c>
      <c r="F404" t="s">
        <v>29</v>
      </c>
      <c r="G404" t="s">
        <v>29</v>
      </c>
      <c r="H404" t="s">
        <v>30</v>
      </c>
      <c r="I404" t="s">
        <v>8</v>
      </c>
      <c r="J404">
        <v>11</v>
      </c>
      <c r="K404">
        <v>4906</v>
      </c>
      <c r="L404">
        <v>53966</v>
      </c>
      <c r="M404">
        <v>40464.879999999997</v>
      </c>
      <c r="N404">
        <v>13501.12</v>
      </c>
      <c r="O404" t="str">
        <f>TEXT(Table1[[#This Row],[Order_Date]],"yyy")</f>
        <v>2024</v>
      </c>
    </row>
    <row r="405" spans="1:15" x14ac:dyDescent="0.3">
      <c r="A405" t="s">
        <v>455</v>
      </c>
      <c r="B405" s="1">
        <v>45345</v>
      </c>
      <c r="C405" t="s">
        <v>22</v>
      </c>
      <c r="D405" t="s">
        <v>25</v>
      </c>
      <c r="E405" t="s">
        <v>4</v>
      </c>
      <c r="F405" t="s">
        <v>36</v>
      </c>
      <c r="G405" t="s">
        <v>36</v>
      </c>
      <c r="H405" t="s">
        <v>30</v>
      </c>
      <c r="I405" t="s">
        <v>15</v>
      </c>
      <c r="J405">
        <v>11</v>
      </c>
      <c r="K405">
        <v>3815</v>
      </c>
      <c r="L405">
        <v>41965</v>
      </c>
      <c r="M405">
        <v>32264.77</v>
      </c>
      <c r="N405">
        <v>9700.23</v>
      </c>
      <c r="O405" t="str">
        <f>TEXT(Table1[[#This Row],[Order_Date]],"yyy")</f>
        <v>2024</v>
      </c>
    </row>
    <row r="406" spans="1:15" x14ac:dyDescent="0.3">
      <c r="A406" t="s">
        <v>456</v>
      </c>
      <c r="B406" s="1">
        <v>45600</v>
      </c>
      <c r="C406" t="s">
        <v>10</v>
      </c>
      <c r="D406" t="s">
        <v>28</v>
      </c>
      <c r="E406" t="s">
        <v>4</v>
      </c>
      <c r="F406" t="s">
        <v>32</v>
      </c>
      <c r="G406" t="s">
        <v>32</v>
      </c>
      <c r="H406" t="s">
        <v>30</v>
      </c>
      <c r="I406" t="s">
        <v>8</v>
      </c>
      <c r="J406">
        <v>2</v>
      </c>
      <c r="K406">
        <v>3002</v>
      </c>
      <c r="L406">
        <v>6004</v>
      </c>
      <c r="M406">
        <v>3612.53</v>
      </c>
      <c r="N406">
        <v>2391.4699999999998</v>
      </c>
      <c r="O406" t="str">
        <f>TEXT(Table1[[#This Row],[Order_Date]],"yyy")</f>
        <v>2024</v>
      </c>
    </row>
    <row r="407" spans="1:15" x14ac:dyDescent="0.3">
      <c r="A407" t="s">
        <v>457</v>
      </c>
      <c r="B407" s="1">
        <v>45913</v>
      </c>
      <c r="C407" t="s">
        <v>10</v>
      </c>
      <c r="D407" t="s">
        <v>31</v>
      </c>
      <c r="E407" t="s">
        <v>11</v>
      </c>
      <c r="F407" t="s">
        <v>13</v>
      </c>
      <c r="G407" t="s">
        <v>13</v>
      </c>
      <c r="H407" t="s">
        <v>33</v>
      </c>
      <c r="I407" t="s">
        <v>15</v>
      </c>
      <c r="J407">
        <v>18</v>
      </c>
      <c r="K407">
        <v>703</v>
      </c>
      <c r="L407">
        <v>12654</v>
      </c>
      <c r="M407">
        <v>10688.3</v>
      </c>
      <c r="N407">
        <v>1965.7</v>
      </c>
      <c r="O407" t="str">
        <f>TEXT(Table1[[#This Row],[Order_Date]],"yyy")</f>
        <v>2025</v>
      </c>
    </row>
    <row r="408" spans="1:15" x14ac:dyDescent="0.3">
      <c r="A408" t="s">
        <v>458</v>
      </c>
      <c r="B408" s="1">
        <v>45605</v>
      </c>
      <c r="C408" t="s">
        <v>3</v>
      </c>
      <c r="D408" t="s">
        <v>21</v>
      </c>
      <c r="E408" t="s">
        <v>18</v>
      </c>
      <c r="F408" t="s">
        <v>34</v>
      </c>
      <c r="G408" t="s">
        <v>34</v>
      </c>
      <c r="H408" t="s">
        <v>24</v>
      </c>
      <c r="I408" t="s">
        <v>8</v>
      </c>
      <c r="J408">
        <v>20</v>
      </c>
      <c r="K408">
        <v>3356</v>
      </c>
      <c r="L408">
        <v>67120</v>
      </c>
      <c r="M408">
        <v>42559.16</v>
      </c>
      <c r="N408">
        <v>24560.84</v>
      </c>
      <c r="O408" t="str">
        <f>TEXT(Table1[[#This Row],[Order_Date]],"yyy")</f>
        <v>2024</v>
      </c>
    </row>
    <row r="409" spans="1:15" x14ac:dyDescent="0.3">
      <c r="A409" t="s">
        <v>459</v>
      </c>
      <c r="B409" s="1">
        <v>45899</v>
      </c>
      <c r="C409" t="s">
        <v>17</v>
      </c>
      <c r="D409" t="s">
        <v>9</v>
      </c>
      <c r="E409" t="s">
        <v>4</v>
      </c>
      <c r="F409" t="s">
        <v>36</v>
      </c>
      <c r="G409" t="s">
        <v>36</v>
      </c>
      <c r="H409" t="s">
        <v>20</v>
      </c>
      <c r="I409" t="s">
        <v>15</v>
      </c>
      <c r="J409">
        <v>16</v>
      </c>
      <c r="K409">
        <v>612</v>
      </c>
      <c r="L409">
        <v>9792</v>
      </c>
      <c r="M409">
        <v>6687.21</v>
      </c>
      <c r="N409">
        <v>3104.79</v>
      </c>
      <c r="O409" t="str">
        <f>TEXT(Table1[[#This Row],[Order_Date]],"yyy")</f>
        <v>2025</v>
      </c>
    </row>
    <row r="410" spans="1:15" x14ac:dyDescent="0.3">
      <c r="A410" t="s">
        <v>460</v>
      </c>
      <c r="B410" s="1">
        <v>45921</v>
      </c>
      <c r="C410" t="s">
        <v>17</v>
      </c>
      <c r="D410" t="s">
        <v>16</v>
      </c>
      <c r="E410" t="s">
        <v>11</v>
      </c>
      <c r="F410" t="s">
        <v>13</v>
      </c>
      <c r="G410" t="s">
        <v>13</v>
      </c>
      <c r="H410" t="s">
        <v>7</v>
      </c>
      <c r="I410" t="s">
        <v>15</v>
      </c>
      <c r="J410">
        <v>17</v>
      </c>
      <c r="K410">
        <v>2189</v>
      </c>
      <c r="L410">
        <v>37213</v>
      </c>
      <c r="M410">
        <v>26853.87</v>
      </c>
      <c r="N410">
        <v>10359.129999999999</v>
      </c>
      <c r="O410" t="str">
        <f>TEXT(Table1[[#This Row],[Order_Date]],"yyy")</f>
        <v>2025</v>
      </c>
    </row>
    <row r="411" spans="1:15" x14ac:dyDescent="0.3">
      <c r="A411" t="s">
        <v>461</v>
      </c>
      <c r="B411" s="1">
        <v>45802</v>
      </c>
      <c r="C411" t="s">
        <v>22</v>
      </c>
      <c r="D411" t="s">
        <v>21</v>
      </c>
      <c r="E411" t="s">
        <v>18</v>
      </c>
      <c r="F411" t="s">
        <v>26</v>
      </c>
      <c r="G411" t="s">
        <v>26</v>
      </c>
      <c r="H411" t="s">
        <v>14</v>
      </c>
      <c r="I411" t="s">
        <v>15</v>
      </c>
      <c r="J411">
        <v>20</v>
      </c>
      <c r="K411">
        <v>3543</v>
      </c>
      <c r="L411">
        <v>70860</v>
      </c>
      <c r="M411">
        <v>53878.82</v>
      </c>
      <c r="N411">
        <v>16981.18</v>
      </c>
      <c r="O411" t="str">
        <f>TEXT(Table1[[#This Row],[Order_Date]],"yyy")</f>
        <v>2025</v>
      </c>
    </row>
    <row r="412" spans="1:15" x14ac:dyDescent="0.3">
      <c r="A412" t="s">
        <v>462</v>
      </c>
      <c r="B412" s="1">
        <v>45845</v>
      </c>
      <c r="C412" t="s">
        <v>17</v>
      </c>
      <c r="D412" t="s">
        <v>9</v>
      </c>
      <c r="E412" t="s">
        <v>18</v>
      </c>
      <c r="F412" t="s">
        <v>26</v>
      </c>
      <c r="G412" t="s">
        <v>26</v>
      </c>
      <c r="H412" t="s">
        <v>24</v>
      </c>
      <c r="I412" t="s">
        <v>8</v>
      </c>
      <c r="J412">
        <v>6</v>
      </c>
      <c r="K412">
        <v>1119</v>
      </c>
      <c r="L412">
        <v>6714</v>
      </c>
      <c r="M412">
        <v>5687.64</v>
      </c>
      <c r="N412">
        <v>1026.3599999999999</v>
      </c>
      <c r="O412" t="str">
        <f>TEXT(Table1[[#This Row],[Order_Date]],"yyy")</f>
        <v>2025</v>
      </c>
    </row>
    <row r="413" spans="1:15" x14ac:dyDescent="0.3">
      <c r="A413" t="s">
        <v>463</v>
      </c>
      <c r="B413" s="1">
        <v>45294</v>
      </c>
      <c r="C413" t="s">
        <v>17</v>
      </c>
      <c r="D413" t="s">
        <v>9</v>
      </c>
      <c r="E413" t="s">
        <v>18</v>
      </c>
      <c r="F413" t="s">
        <v>26</v>
      </c>
      <c r="G413" t="s">
        <v>26</v>
      </c>
      <c r="H413" t="s">
        <v>35</v>
      </c>
      <c r="I413" t="s">
        <v>15</v>
      </c>
      <c r="J413">
        <v>14</v>
      </c>
      <c r="K413">
        <v>3135</v>
      </c>
      <c r="L413">
        <v>43890</v>
      </c>
      <c r="M413">
        <v>35010.71</v>
      </c>
      <c r="N413">
        <v>8879.2900000000009</v>
      </c>
      <c r="O413" t="str">
        <f>TEXT(Table1[[#This Row],[Order_Date]],"yyy")</f>
        <v>2024</v>
      </c>
    </row>
    <row r="414" spans="1:15" x14ac:dyDescent="0.3">
      <c r="A414" t="s">
        <v>464</v>
      </c>
      <c r="B414" s="1">
        <v>45342</v>
      </c>
      <c r="C414" t="s">
        <v>10</v>
      </c>
      <c r="D414" t="s">
        <v>25</v>
      </c>
      <c r="E414" t="s">
        <v>18</v>
      </c>
      <c r="F414" t="s">
        <v>26</v>
      </c>
      <c r="G414" t="s">
        <v>26</v>
      </c>
      <c r="H414" t="s">
        <v>20</v>
      </c>
      <c r="I414" t="s">
        <v>15</v>
      </c>
      <c r="J414">
        <v>20</v>
      </c>
      <c r="K414">
        <v>1790</v>
      </c>
      <c r="L414">
        <v>35800</v>
      </c>
      <c r="M414">
        <v>22091.73</v>
      </c>
      <c r="N414">
        <v>13708.27</v>
      </c>
      <c r="O414" t="str">
        <f>TEXT(Table1[[#This Row],[Order_Date]],"yyy")</f>
        <v>2024</v>
      </c>
    </row>
    <row r="415" spans="1:15" x14ac:dyDescent="0.3">
      <c r="A415" t="s">
        <v>465</v>
      </c>
      <c r="B415" s="1">
        <v>45730</v>
      </c>
      <c r="C415" t="s">
        <v>17</v>
      </c>
      <c r="D415" t="s">
        <v>16</v>
      </c>
      <c r="E415" t="s">
        <v>11</v>
      </c>
      <c r="F415" t="s">
        <v>13</v>
      </c>
      <c r="G415" t="s">
        <v>13</v>
      </c>
      <c r="H415" t="s">
        <v>14</v>
      </c>
      <c r="I415" t="s">
        <v>15</v>
      </c>
      <c r="J415">
        <v>7</v>
      </c>
      <c r="K415">
        <v>3956</v>
      </c>
      <c r="L415">
        <v>27692</v>
      </c>
      <c r="M415">
        <v>19032.95</v>
      </c>
      <c r="N415">
        <v>8659.0499999999993</v>
      </c>
      <c r="O415" t="str">
        <f>TEXT(Table1[[#This Row],[Order_Date]],"yyy")</f>
        <v>2025</v>
      </c>
    </row>
    <row r="416" spans="1:15" x14ac:dyDescent="0.3">
      <c r="A416" t="s">
        <v>466</v>
      </c>
      <c r="B416" s="1">
        <v>45929</v>
      </c>
      <c r="C416" t="s">
        <v>22</v>
      </c>
      <c r="D416" t="s">
        <v>25</v>
      </c>
      <c r="E416" t="s">
        <v>11</v>
      </c>
      <c r="F416" t="s">
        <v>6</v>
      </c>
      <c r="G416" t="s">
        <v>6</v>
      </c>
      <c r="H416" t="s">
        <v>7</v>
      </c>
      <c r="I416" t="s">
        <v>15</v>
      </c>
      <c r="J416">
        <v>3</v>
      </c>
      <c r="K416">
        <v>958</v>
      </c>
      <c r="L416">
        <v>2874</v>
      </c>
      <c r="M416">
        <v>1651.26</v>
      </c>
      <c r="N416">
        <v>1222.74</v>
      </c>
      <c r="O416" t="str">
        <f>TEXT(Table1[[#This Row],[Order_Date]],"yyy")</f>
        <v>2025</v>
      </c>
    </row>
    <row r="417" spans="1:15" x14ac:dyDescent="0.3">
      <c r="A417" t="s">
        <v>467</v>
      </c>
      <c r="B417" s="1">
        <v>45475</v>
      </c>
      <c r="C417" t="s">
        <v>10</v>
      </c>
      <c r="D417" t="s">
        <v>21</v>
      </c>
      <c r="E417" t="s">
        <v>4</v>
      </c>
      <c r="F417" t="s">
        <v>32</v>
      </c>
      <c r="G417" t="s">
        <v>32</v>
      </c>
      <c r="H417" t="s">
        <v>27</v>
      </c>
      <c r="I417" t="s">
        <v>8</v>
      </c>
      <c r="J417">
        <v>7</v>
      </c>
      <c r="K417">
        <v>2166</v>
      </c>
      <c r="L417">
        <v>15162</v>
      </c>
      <c r="M417">
        <v>8783.69</v>
      </c>
      <c r="N417">
        <v>6378.31</v>
      </c>
      <c r="O417" t="str">
        <f>TEXT(Table1[[#This Row],[Order_Date]],"yyy")</f>
        <v>2024</v>
      </c>
    </row>
    <row r="418" spans="1:15" x14ac:dyDescent="0.3">
      <c r="A418" t="s">
        <v>468</v>
      </c>
      <c r="B418" s="1">
        <v>45639</v>
      </c>
      <c r="C418" t="s">
        <v>22</v>
      </c>
      <c r="D418" t="s">
        <v>9</v>
      </c>
      <c r="E418" t="s">
        <v>18</v>
      </c>
      <c r="F418" t="s">
        <v>34</v>
      </c>
      <c r="G418" t="s">
        <v>34</v>
      </c>
      <c r="H418" t="s">
        <v>35</v>
      </c>
      <c r="I418" t="s">
        <v>15</v>
      </c>
      <c r="J418">
        <v>8</v>
      </c>
      <c r="K418">
        <v>2992</v>
      </c>
      <c r="L418">
        <v>23936</v>
      </c>
      <c r="M418">
        <v>13285.23</v>
      </c>
      <c r="N418">
        <v>10650.77</v>
      </c>
      <c r="O418" t="str">
        <f>TEXT(Table1[[#This Row],[Order_Date]],"yyy")</f>
        <v>2024</v>
      </c>
    </row>
    <row r="419" spans="1:15" x14ac:dyDescent="0.3">
      <c r="A419" t="s">
        <v>469</v>
      </c>
      <c r="B419" s="1">
        <v>45888</v>
      </c>
      <c r="C419" t="s">
        <v>10</v>
      </c>
      <c r="D419" t="s">
        <v>28</v>
      </c>
      <c r="E419" t="s">
        <v>18</v>
      </c>
      <c r="F419" t="s">
        <v>34</v>
      </c>
      <c r="G419" t="s">
        <v>34</v>
      </c>
      <c r="H419" t="s">
        <v>24</v>
      </c>
      <c r="I419" t="s">
        <v>8</v>
      </c>
      <c r="J419">
        <v>19</v>
      </c>
      <c r="K419">
        <v>2903</v>
      </c>
      <c r="L419">
        <v>55157</v>
      </c>
      <c r="M419">
        <v>33583.519999999997</v>
      </c>
      <c r="N419">
        <v>21573.48</v>
      </c>
      <c r="O419" t="str">
        <f>TEXT(Table1[[#This Row],[Order_Date]],"yyy")</f>
        <v>2025</v>
      </c>
    </row>
    <row r="420" spans="1:15" x14ac:dyDescent="0.3">
      <c r="A420" t="s">
        <v>470</v>
      </c>
      <c r="B420" s="1">
        <v>45337</v>
      </c>
      <c r="C420" t="s">
        <v>10</v>
      </c>
      <c r="D420" t="s">
        <v>16</v>
      </c>
      <c r="E420" t="s">
        <v>4</v>
      </c>
      <c r="F420" t="s">
        <v>36</v>
      </c>
      <c r="G420" t="s">
        <v>36</v>
      </c>
      <c r="H420" t="s">
        <v>14</v>
      </c>
      <c r="I420" t="s">
        <v>15</v>
      </c>
      <c r="J420">
        <v>17</v>
      </c>
      <c r="K420">
        <v>1306</v>
      </c>
      <c r="L420">
        <v>22202</v>
      </c>
      <c r="M420">
        <v>15517.93</v>
      </c>
      <c r="N420">
        <v>6684.07</v>
      </c>
      <c r="O420" t="str">
        <f>TEXT(Table1[[#This Row],[Order_Date]],"yyy")</f>
        <v>2024</v>
      </c>
    </row>
    <row r="421" spans="1:15" x14ac:dyDescent="0.3">
      <c r="A421" t="s">
        <v>471</v>
      </c>
      <c r="B421" s="1">
        <v>45870</v>
      </c>
      <c r="C421" t="s">
        <v>3</v>
      </c>
      <c r="D421" t="s">
        <v>31</v>
      </c>
      <c r="E421" t="s">
        <v>18</v>
      </c>
      <c r="F421" t="s">
        <v>29</v>
      </c>
      <c r="G421" t="s">
        <v>29</v>
      </c>
      <c r="H421" t="s">
        <v>20</v>
      </c>
      <c r="I421" t="s">
        <v>8</v>
      </c>
      <c r="J421">
        <v>7</v>
      </c>
      <c r="K421">
        <v>1880</v>
      </c>
      <c r="L421">
        <v>13160</v>
      </c>
      <c r="M421">
        <v>9726.99</v>
      </c>
      <c r="N421">
        <v>3433.01</v>
      </c>
      <c r="O421" t="str">
        <f>TEXT(Table1[[#This Row],[Order_Date]],"yyy")</f>
        <v>2025</v>
      </c>
    </row>
    <row r="422" spans="1:15" x14ac:dyDescent="0.3">
      <c r="A422" t="s">
        <v>472</v>
      </c>
      <c r="B422" s="1">
        <v>45772</v>
      </c>
      <c r="C422" t="s">
        <v>17</v>
      </c>
      <c r="D422" t="s">
        <v>31</v>
      </c>
      <c r="E422" t="s">
        <v>11</v>
      </c>
      <c r="F422" t="s">
        <v>6</v>
      </c>
      <c r="G422" t="s">
        <v>6</v>
      </c>
      <c r="H422" t="s">
        <v>30</v>
      </c>
      <c r="I422" t="s">
        <v>15</v>
      </c>
      <c r="J422">
        <v>7</v>
      </c>
      <c r="K422">
        <v>2887</v>
      </c>
      <c r="L422">
        <v>20209</v>
      </c>
      <c r="M422">
        <v>15558.99</v>
      </c>
      <c r="N422">
        <v>4650.01</v>
      </c>
      <c r="O422" t="str">
        <f>TEXT(Table1[[#This Row],[Order_Date]],"yyy")</f>
        <v>2025</v>
      </c>
    </row>
    <row r="423" spans="1:15" x14ac:dyDescent="0.3">
      <c r="A423" t="s">
        <v>473</v>
      </c>
      <c r="B423" s="1">
        <v>45476</v>
      </c>
      <c r="C423" t="s">
        <v>3</v>
      </c>
      <c r="D423" t="s">
        <v>28</v>
      </c>
      <c r="E423" t="s">
        <v>18</v>
      </c>
      <c r="F423" t="s">
        <v>29</v>
      </c>
      <c r="G423" t="s">
        <v>29</v>
      </c>
      <c r="H423" t="s">
        <v>30</v>
      </c>
      <c r="I423" t="s">
        <v>15</v>
      </c>
      <c r="J423">
        <v>9</v>
      </c>
      <c r="K423">
        <v>2564</v>
      </c>
      <c r="L423">
        <v>23076</v>
      </c>
      <c r="M423">
        <v>15240.29</v>
      </c>
      <c r="N423">
        <v>7835.71</v>
      </c>
      <c r="O423" t="str">
        <f>TEXT(Table1[[#This Row],[Order_Date]],"yyy")</f>
        <v>2024</v>
      </c>
    </row>
    <row r="424" spans="1:15" x14ac:dyDescent="0.3">
      <c r="A424" t="s">
        <v>474</v>
      </c>
      <c r="B424" s="1">
        <v>45620</v>
      </c>
      <c r="C424" t="s">
        <v>17</v>
      </c>
      <c r="D424" t="s">
        <v>21</v>
      </c>
      <c r="E424" t="s">
        <v>18</v>
      </c>
      <c r="F424" t="s">
        <v>26</v>
      </c>
      <c r="G424" t="s">
        <v>26</v>
      </c>
      <c r="H424" t="s">
        <v>20</v>
      </c>
      <c r="I424" t="s">
        <v>15</v>
      </c>
      <c r="J424">
        <v>10</v>
      </c>
      <c r="K424">
        <v>474</v>
      </c>
      <c r="L424">
        <v>4740</v>
      </c>
      <c r="M424">
        <v>3676.85</v>
      </c>
      <c r="N424">
        <v>1063.1500000000001</v>
      </c>
      <c r="O424" t="str">
        <f>TEXT(Table1[[#This Row],[Order_Date]],"yyy")</f>
        <v>2024</v>
      </c>
    </row>
    <row r="425" spans="1:15" x14ac:dyDescent="0.3">
      <c r="A425" t="s">
        <v>475</v>
      </c>
      <c r="B425" s="1">
        <v>45790</v>
      </c>
      <c r="C425" t="s">
        <v>3</v>
      </c>
      <c r="D425" t="s">
        <v>31</v>
      </c>
      <c r="E425" t="s">
        <v>4</v>
      </c>
      <c r="F425" t="s">
        <v>32</v>
      </c>
      <c r="G425" t="s">
        <v>32</v>
      </c>
      <c r="H425" t="s">
        <v>24</v>
      </c>
      <c r="I425" t="s">
        <v>15</v>
      </c>
      <c r="J425">
        <v>7</v>
      </c>
      <c r="K425">
        <v>4054</v>
      </c>
      <c r="L425">
        <v>28378</v>
      </c>
      <c r="M425">
        <v>16360.28</v>
      </c>
      <c r="N425">
        <v>12017.72</v>
      </c>
      <c r="O425" t="str">
        <f>TEXT(Table1[[#This Row],[Order_Date]],"yyy")</f>
        <v>2025</v>
      </c>
    </row>
    <row r="426" spans="1:15" x14ac:dyDescent="0.3">
      <c r="A426" t="s">
        <v>476</v>
      </c>
      <c r="B426" s="1">
        <v>45629</v>
      </c>
      <c r="C426" t="s">
        <v>17</v>
      </c>
      <c r="D426" t="s">
        <v>21</v>
      </c>
      <c r="E426" t="s">
        <v>11</v>
      </c>
      <c r="F426" t="s">
        <v>6</v>
      </c>
      <c r="G426" t="s">
        <v>6</v>
      </c>
      <c r="H426" t="s">
        <v>30</v>
      </c>
      <c r="I426" t="s">
        <v>8</v>
      </c>
      <c r="J426">
        <v>17</v>
      </c>
      <c r="K426">
        <v>4593</v>
      </c>
      <c r="L426">
        <v>78081</v>
      </c>
      <c r="M426">
        <v>43039.64</v>
      </c>
      <c r="N426">
        <v>35041.360000000001</v>
      </c>
      <c r="O426" t="str">
        <f>TEXT(Table1[[#This Row],[Order_Date]],"yyy")</f>
        <v>2024</v>
      </c>
    </row>
    <row r="427" spans="1:15" x14ac:dyDescent="0.3">
      <c r="A427" t="s">
        <v>477</v>
      </c>
      <c r="B427" s="1">
        <v>45705</v>
      </c>
      <c r="C427" t="s">
        <v>17</v>
      </c>
      <c r="D427" t="s">
        <v>9</v>
      </c>
      <c r="E427" t="s">
        <v>4</v>
      </c>
      <c r="F427" t="s">
        <v>32</v>
      </c>
      <c r="G427" t="s">
        <v>32</v>
      </c>
      <c r="H427" t="s">
        <v>27</v>
      </c>
      <c r="I427" t="s">
        <v>15</v>
      </c>
      <c r="J427">
        <v>17</v>
      </c>
      <c r="K427">
        <v>2071</v>
      </c>
      <c r="L427">
        <v>35207</v>
      </c>
      <c r="M427">
        <v>26246.23</v>
      </c>
      <c r="N427">
        <v>8960.77</v>
      </c>
      <c r="O427" t="str">
        <f>TEXT(Table1[[#This Row],[Order_Date]],"yyy")</f>
        <v>2025</v>
      </c>
    </row>
    <row r="428" spans="1:15" x14ac:dyDescent="0.3">
      <c r="A428" t="s">
        <v>478</v>
      </c>
      <c r="B428" s="1">
        <v>45750</v>
      </c>
      <c r="C428" t="s">
        <v>17</v>
      </c>
      <c r="D428" t="s">
        <v>31</v>
      </c>
      <c r="E428" t="s">
        <v>4</v>
      </c>
      <c r="F428" t="s">
        <v>23</v>
      </c>
      <c r="G428" t="s">
        <v>23</v>
      </c>
      <c r="H428" t="s">
        <v>30</v>
      </c>
      <c r="I428" t="s">
        <v>15</v>
      </c>
      <c r="J428">
        <v>20</v>
      </c>
      <c r="K428">
        <v>1761</v>
      </c>
      <c r="L428">
        <v>35220</v>
      </c>
      <c r="M428">
        <v>20325.54</v>
      </c>
      <c r="N428">
        <v>14894.46</v>
      </c>
      <c r="O428" t="str">
        <f>TEXT(Table1[[#This Row],[Order_Date]],"yyy")</f>
        <v>2025</v>
      </c>
    </row>
    <row r="429" spans="1:15" x14ac:dyDescent="0.3">
      <c r="A429" t="s">
        <v>479</v>
      </c>
      <c r="B429" s="1">
        <v>45763</v>
      </c>
      <c r="C429" t="s">
        <v>22</v>
      </c>
      <c r="D429" t="s">
        <v>31</v>
      </c>
      <c r="E429" t="s">
        <v>11</v>
      </c>
      <c r="F429" t="s">
        <v>13</v>
      </c>
      <c r="G429" t="s">
        <v>13</v>
      </c>
      <c r="H429" t="s">
        <v>24</v>
      </c>
      <c r="I429" t="s">
        <v>15</v>
      </c>
      <c r="J429">
        <v>12</v>
      </c>
      <c r="K429">
        <v>462</v>
      </c>
      <c r="L429">
        <v>5544</v>
      </c>
      <c r="M429">
        <v>4059.57</v>
      </c>
      <c r="N429">
        <v>1484.43</v>
      </c>
      <c r="O429" t="str">
        <f>TEXT(Table1[[#This Row],[Order_Date]],"yyy")</f>
        <v>2025</v>
      </c>
    </row>
    <row r="430" spans="1:15" x14ac:dyDescent="0.3">
      <c r="A430" t="s">
        <v>480</v>
      </c>
      <c r="B430" s="1">
        <v>45534</v>
      </c>
      <c r="C430" t="s">
        <v>22</v>
      </c>
      <c r="D430" t="s">
        <v>21</v>
      </c>
      <c r="E430" t="s">
        <v>4</v>
      </c>
      <c r="F430" t="s">
        <v>23</v>
      </c>
      <c r="G430" t="s">
        <v>23</v>
      </c>
      <c r="H430" t="s">
        <v>27</v>
      </c>
      <c r="I430" t="s">
        <v>8</v>
      </c>
      <c r="J430">
        <v>13</v>
      </c>
      <c r="K430">
        <v>3119</v>
      </c>
      <c r="L430">
        <v>40547</v>
      </c>
      <c r="M430">
        <v>28482.26</v>
      </c>
      <c r="N430">
        <v>12064.74</v>
      </c>
      <c r="O430" t="str">
        <f>TEXT(Table1[[#This Row],[Order_Date]],"yyy")</f>
        <v>2024</v>
      </c>
    </row>
    <row r="431" spans="1:15" x14ac:dyDescent="0.3">
      <c r="A431" t="s">
        <v>481</v>
      </c>
      <c r="B431" s="1">
        <v>45814</v>
      </c>
      <c r="C431" t="s">
        <v>17</v>
      </c>
      <c r="D431" t="s">
        <v>31</v>
      </c>
      <c r="E431" t="s">
        <v>18</v>
      </c>
      <c r="F431" t="s">
        <v>29</v>
      </c>
      <c r="G431" t="s">
        <v>29</v>
      </c>
      <c r="H431" t="s">
        <v>24</v>
      </c>
      <c r="I431" t="s">
        <v>15</v>
      </c>
      <c r="J431">
        <v>2</v>
      </c>
      <c r="K431">
        <v>4802</v>
      </c>
      <c r="L431">
        <v>9604</v>
      </c>
      <c r="M431">
        <v>6396.79</v>
      </c>
      <c r="N431">
        <v>3207.21</v>
      </c>
      <c r="O431" t="str">
        <f>TEXT(Table1[[#This Row],[Order_Date]],"yyy")</f>
        <v>2025</v>
      </c>
    </row>
    <row r="432" spans="1:15" x14ac:dyDescent="0.3">
      <c r="A432" t="s">
        <v>482</v>
      </c>
      <c r="B432" s="1">
        <v>45670</v>
      </c>
      <c r="C432" t="s">
        <v>10</v>
      </c>
      <c r="D432" t="s">
        <v>31</v>
      </c>
      <c r="E432" t="s">
        <v>4</v>
      </c>
      <c r="F432" t="s">
        <v>23</v>
      </c>
      <c r="G432" t="s">
        <v>23</v>
      </c>
      <c r="H432" t="s">
        <v>33</v>
      </c>
      <c r="I432" t="s">
        <v>8</v>
      </c>
      <c r="J432">
        <v>11</v>
      </c>
      <c r="K432">
        <v>3823</v>
      </c>
      <c r="L432">
        <v>42053</v>
      </c>
      <c r="M432">
        <v>26535.48</v>
      </c>
      <c r="N432">
        <v>15517.52</v>
      </c>
      <c r="O432" t="str">
        <f>TEXT(Table1[[#This Row],[Order_Date]],"yyy")</f>
        <v>2025</v>
      </c>
    </row>
    <row r="433" spans="1:15" x14ac:dyDescent="0.3">
      <c r="A433" t="s">
        <v>483</v>
      </c>
      <c r="B433" s="1">
        <v>45693</v>
      </c>
      <c r="C433" t="s">
        <v>3</v>
      </c>
      <c r="D433" t="s">
        <v>16</v>
      </c>
      <c r="E433" t="s">
        <v>18</v>
      </c>
      <c r="F433" t="s">
        <v>29</v>
      </c>
      <c r="G433" t="s">
        <v>29</v>
      </c>
      <c r="H433" t="s">
        <v>35</v>
      </c>
      <c r="I433" t="s">
        <v>15</v>
      </c>
      <c r="J433">
        <v>16</v>
      </c>
      <c r="K433">
        <v>1683</v>
      </c>
      <c r="L433">
        <v>26928</v>
      </c>
      <c r="M433">
        <v>21566.43</v>
      </c>
      <c r="N433">
        <v>5361.57</v>
      </c>
      <c r="O433" t="str">
        <f>TEXT(Table1[[#This Row],[Order_Date]],"yyy")</f>
        <v>2025</v>
      </c>
    </row>
    <row r="434" spans="1:15" x14ac:dyDescent="0.3">
      <c r="A434" t="s">
        <v>484</v>
      </c>
      <c r="B434" s="1">
        <v>45971</v>
      </c>
      <c r="C434" t="s">
        <v>3</v>
      </c>
      <c r="D434" t="s">
        <v>31</v>
      </c>
      <c r="E434" t="s">
        <v>11</v>
      </c>
      <c r="F434" t="s">
        <v>6</v>
      </c>
      <c r="G434" t="s">
        <v>6</v>
      </c>
      <c r="H434" t="s">
        <v>33</v>
      </c>
      <c r="I434" t="s">
        <v>15</v>
      </c>
      <c r="J434">
        <v>15</v>
      </c>
      <c r="K434">
        <v>2828</v>
      </c>
      <c r="L434">
        <v>42420</v>
      </c>
      <c r="M434">
        <v>31975.1</v>
      </c>
      <c r="N434">
        <v>10444.9</v>
      </c>
      <c r="O434" t="str">
        <f>TEXT(Table1[[#This Row],[Order_Date]],"yyy")</f>
        <v>2025</v>
      </c>
    </row>
    <row r="435" spans="1:15" x14ac:dyDescent="0.3">
      <c r="A435" t="s">
        <v>485</v>
      </c>
      <c r="B435" s="1">
        <v>45847</v>
      </c>
      <c r="C435" t="s">
        <v>17</v>
      </c>
      <c r="D435" t="s">
        <v>31</v>
      </c>
      <c r="E435" t="s">
        <v>18</v>
      </c>
      <c r="F435" t="s">
        <v>29</v>
      </c>
      <c r="G435" t="s">
        <v>29</v>
      </c>
      <c r="H435" t="s">
        <v>33</v>
      </c>
      <c r="I435" t="s">
        <v>15</v>
      </c>
      <c r="J435">
        <v>1</v>
      </c>
      <c r="K435">
        <v>1511</v>
      </c>
      <c r="L435">
        <v>1511</v>
      </c>
      <c r="M435">
        <v>867.92</v>
      </c>
      <c r="N435">
        <v>643.08000000000004</v>
      </c>
      <c r="O435" t="str">
        <f>TEXT(Table1[[#This Row],[Order_Date]],"yyy")</f>
        <v>2025</v>
      </c>
    </row>
    <row r="436" spans="1:15" x14ac:dyDescent="0.3">
      <c r="A436" t="s">
        <v>486</v>
      </c>
      <c r="B436" s="1">
        <v>45785</v>
      </c>
      <c r="C436" t="s">
        <v>22</v>
      </c>
      <c r="D436" t="s">
        <v>9</v>
      </c>
      <c r="E436" t="s">
        <v>18</v>
      </c>
      <c r="F436" t="s">
        <v>34</v>
      </c>
      <c r="G436" t="s">
        <v>34</v>
      </c>
      <c r="H436" t="s">
        <v>24</v>
      </c>
      <c r="I436" t="s">
        <v>8</v>
      </c>
      <c r="J436">
        <v>3</v>
      </c>
      <c r="K436">
        <v>4796</v>
      </c>
      <c r="L436">
        <v>14388</v>
      </c>
      <c r="M436">
        <v>11986.5</v>
      </c>
      <c r="N436">
        <v>2401.5</v>
      </c>
      <c r="O436" t="str">
        <f>TEXT(Table1[[#This Row],[Order_Date]],"yyy")</f>
        <v>2025</v>
      </c>
    </row>
    <row r="437" spans="1:15" x14ac:dyDescent="0.3">
      <c r="A437" t="s">
        <v>487</v>
      </c>
      <c r="B437" s="1">
        <v>45993</v>
      </c>
      <c r="C437" t="s">
        <v>3</v>
      </c>
      <c r="D437" t="s">
        <v>28</v>
      </c>
      <c r="E437" t="s">
        <v>4</v>
      </c>
      <c r="F437" t="s">
        <v>32</v>
      </c>
      <c r="G437" t="s">
        <v>32</v>
      </c>
      <c r="H437" t="s">
        <v>35</v>
      </c>
      <c r="I437" t="s">
        <v>15</v>
      </c>
      <c r="J437">
        <v>7</v>
      </c>
      <c r="K437">
        <v>2493</v>
      </c>
      <c r="L437">
        <v>17451</v>
      </c>
      <c r="M437">
        <v>10338.31</v>
      </c>
      <c r="N437">
        <v>7112.69</v>
      </c>
      <c r="O437" t="str">
        <f>TEXT(Table1[[#This Row],[Order_Date]],"yyy")</f>
        <v>2025</v>
      </c>
    </row>
    <row r="438" spans="1:15" x14ac:dyDescent="0.3">
      <c r="A438" t="s">
        <v>488</v>
      </c>
      <c r="B438" s="1">
        <v>45720</v>
      </c>
      <c r="C438" t="s">
        <v>3</v>
      </c>
      <c r="D438" t="s">
        <v>31</v>
      </c>
      <c r="E438" t="s">
        <v>18</v>
      </c>
      <c r="F438" t="s">
        <v>26</v>
      </c>
      <c r="G438" t="s">
        <v>26</v>
      </c>
      <c r="H438" t="s">
        <v>20</v>
      </c>
      <c r="I438" t="s">
        <v>15</v>
      </c>
      <c r="J438">
        <v>13</v>
      </c>
      <c r="K438">
        <v>4359</v>
      </c>
      <c r="L438">
        <v>56667</v>
      </c>
      <c r="M438">
        <v>36193.620000000003</v>
      </c>
      <c r="N438">
        <v>20473.38</v>
      </c>
      <c r="O438" t="str">
        <f>TEXT(Table1[[#This Row],[Order_Date]],"yyy")</f>
        <v>2025</v>
      </c>
    </row>
    <row r="439" spans="1:15" x14ac:dyDescent="0.3">
      <c r="A439" t="s">
        <v>489</v>
      </c>
      <c r="B439" s="1">
        <v>45949</v>
      </c>
      <c r="C439" t="s">
        <v>22</v>
      </c>
      <c r="D439" t="s">
        <v>21</v>
      </c>
      <c r="E439" t="s">
        <v>4</v>
      </c>
      <c r="F439" t="s">
        <v>32</v>
      </c>
      <c r="G439" t="s">
        <v>32</v>
      </c>
      <c r="H439" t="s">
        <v>20</v>
      </c>
      <c r="I439" t="s">
        <v>15</v>
      </c>
      <c r="J439">
        <v>11</v>
      </c>
      <c r="K439">
        <v>4269</v>
      </c>
      <c r="L439">
        <v>46959</v>
      </c>
      <c r="M439">
        <v>37351.68</v>
      </c>
      <c r="N439">
        <v>9607.32</v>
      </c>
      <c r="O439" t="str">
        <f>TEXT(Table1[[#This Row],[Order_Date]],"yyy")</f>
        <v>2025</v>
      </c>
    </row>
    <row r="440" spans="1:15" x14ac:dyDescent="0.3">
      <c r="A440" t="s">
        <v>490</v>
      </c>
      <c r="B440" s="1">
        <v>45437</v>
      </c>
      <c r="C440" t="s">
        <v>17</v>
      </c>
      <c r="D440" t="s">
        <v>28</v>
      </c>
      <c r="E440" t="s">
        <v>4</v>
      </c>
      <c r="F440" t="s">
        <v>32</v>
      </c>
      <c r="G440" t="s">
        <v>32</v>
      </c>
      <c r="H440" t="s">
        <v>33</v>
      </c>
      <c r="I440" t="s">
        <v>8</v>
      </c>
      <c r="J440">
        <v>4</v>
      </c>
      <c r="K440">
        <v>1140</v>
      </c>
      <c r="L440">
        <v>4560</v>
      </c>
      <c r="M440">
        <v>3063.02</v>
      </c>
      <c r="N440">
        <v>1496.98</v>
      </c>
      <c r="O440" t="str">
        <f>TEXT(Table1[[#This Row],[Order_Date]],"yyy")</f>
        <v>2024</v>
      </c>
    </row>
    <row r="441" spans="1:15" x14ac:dyDescent="0.3">
      <c r="A441" t="s">
        <v>491</v>
      </c>
      <c r="B441" s="1">
        <v>45679</v>
      </c>
      <c r="C441" t="s">
        <v>22</v>
      </c>
      <c r="D441" t="s">
        <v>9</v>
      </c>
      <c r="E441" t="s">
        <v>4</v>
      </c>
      <c r="F441" t="s">
        <v>23</v>
      </c>
      <c r="G441" t="s">
        <v>23</v>
      </c>
      <c r="H441" t="s">
        <v>27</v>
      </c>
      <c r="I441" t="s">
        <v>15</v>
      </c>
      <c r="J441">
        <v>12</v>
      </c>
      <c r="K441">
        <v>4608</v>
      </c>
      <c r="L441">
        <v>55296</v>
      </c>
      <c r="M441">
        <v>38610.14</v>
      </c>
      <c r="N441">
        <v>16685.86</v>
      </c>
      <c r="O441" t="str">
        <f>TEXT(Table1[[#This Row],[Order_Date]],"yyy")</f>
        <v>2025</v>
      </c>
    </row>
    <row r="442" spans="1:15" x14ac:dyDescent="0.3">
      <c r="A442" t="s">
        <v>492</v>
      </c>
      <c r="B442" s="1">
        <v>45845</v>
      </c>
      <c r="C442" t="s">
        <v>22</v>
      </c>
      <c r="D442" t="s">
        <v>9</v>
      </c>
      <c r="E442" t="s">
        <v>11</v>
      </c>
      <c r="F442" t="s">
        <v>6</v>
      </c>
      <c r="G442" t="s">
        <v>6</v>
      </c>
      <c r="H442" t="s">
        <v>27</v>
      </c>
      <c r="I442" t="s">
        <v>15</v>
      </c>
      <c r="J442">
        <v>17</v>
      </c>
      <c r="K442">
        <v>4116</v>
      </c>
      <c r="L442">
        <v>69972</v>
      </c>
      <c r="M442">
        <v>56951.55</v>
      </c>
      <c r="N442">
        <v>13020.45</v>
      </c>
      <c r="O442" t="str">
        <f>TEXT(Table1[[#This Row],[Order_Date]],"yyy")</f>
        <v>2025</v>
      </c>
    </row>
    <row r="443" spans="1:15" x14ac:dyDescent="0.3">
      <c r="A443" t="s">
        <v>493</v>
      </c>
      <c r="B443" s="1">
        <v>45545</v>
      </c>
      <c r="C443" t="s">
        <v>22</v>
      </c>
      <c r="D443" t="s">
        <v>21</v>
      </c>
      <c r="E443" t="s">
        <v>4</v>
      </c>
      <c r="F443" t="s">
        <v>36</v>
      </c>
      <c r="G443" t="s">
        <v>36</v>
      </c>
      <c r="H443" t="s">
        <v>35</v>
      </c>
      <c r="I443" t="s">
        <v>15</v>
      </c>
      <c r="J443">
        <v>10</v>
      </c>
      <c r="K443">
        <v>3139</v>
      </c>
      <c r="L443">
        <v>31390</v>
      </c>
      <c r="M443">
        <v>17946.97</v>
      </c>
      <c r="N443">
        <v>13443.03</v>
      </c>
      <c r="O443" t="str">
        <f>TEXT(Table1[[#This Row],[Order_Date]],"yyy")</f>
        <v>2024</v>
      </c>
    </row>
    <row r="444" spans="1:15" x14ac:dyDescent="0.3">
      <c r="A444" t="s">
        <v>494</v>
      </c>
      <c r="B444" s="1">
        <v>45329</v>
      </c>
      <c r="C444" t="s">
        <v>22</v>
      </c>
      <c r="D444" t="s">
        <v>31</v>
      </c>
      <c r="E444" t="s">
        <v>4</v>
      </c>
      <c r="F444" t="s">
        <v>36</v>
      </c>
      <c r="G444" t="s">
        <v>36</v>
      </c>
      <c r="H444" t="s">
        <v>20</v>
      </c>
      <c r="I444" t="s">
        <v>15</v>
      </c>
      <c r="J444">
        <v>18</v>
      </c>
      <c r="K444">
        <v>4049</v>
      </c>
      <c r="L444">
        <v>72882</v>
      </c>
      <c r="M444">
        <v>61368.11</v>
      </c>
      <c r="N444">
        <v>11513.89</v>
      </c>
      <c r="O444" t="str">
        <f>TEXT(Table1[[#This Row],[Order_Date]],"yyy")</f>
        <v>2024</v>
      </c>
    </row>
    <row r="445" spans="1:15" x14ac:dyDescent="0.3">
      <c r="A445" t="s">
        <v>495</v>
      </c>
      <c r="B445" s="1">
        <v>45362</v>
      </c>
      <c r="C445" t="s">
        <v>3</v>
      </c>
      <c r="D445" t="s">
        <v>9</v>
      </c>
      <c r="E445" t="s">
        <v>11</v>
      </c>
      <c r="F445" t="s">
        <v>6</v>
      </c>
      <c r="G445" t="s">
        <v>6</v>
      </c>
      <c r="H445" t="s">
        <v>24</v>
      </c>
      <c r="I445" t="s">
        <v>8</v>
      </c>
      <c r="J445">
        <v>14</v>
      </c>
      <c r="K445">
        <v>460</v>
      </c>
      <c r="L445">
        <v>6440</v>
      </c>
      <c r="M445">
        <v>4740.46</v>
      </c>
      <c r="N445">
        <v>1699.54</v>
      </c>
      <c r="O445" t="str">
        <f>TEXT(Table1[[#This Row],[Order_Date]],"yyy")</f>
        <v>2024</v>
      </c>
    </row>
    <row r="446" spans="1:15" x14ac:dyDescent="0.3">
      <c r="A446" t="s">
        <v>496</v>
      </c>
      <c r="B446" s="1">
        <v>45329</v>
      </c>
      <c r="C446" t="s">
        <v>10</v>
      </c>
      <c r="D446" t="s">
        <v>25</v>
      </c>
      <c r="E446" t="s">
        <v>18</v>
      </c>
      <c r="F446" t="s">
        <v>29</v>
      </c>
      <c r="G446" t="s">
        <v>29</v>
      </c>
      <c r="H446" t="s">
        <v>33</v>
      </c>
      <c r="I446" t="s">
        <v>15</v>
      </c>
      <c r="J446">
        <v>2</v>
      </c>
      <c r="K446">
        <v>1959</v>
      </c>
      <c r="L446">
        <v>3918</v>
      </c>
      <c r="M446">
        <v>2639.42</v>
      </c>
      <c r="N446">
        <v>1278.58</v>
      </c>
      <c r="O446" t="str">
        <f>TEXT(Table1[[#This Row],[Order_Date]],"yyy")</f>
        <v>2024</v>
      </c>
    </row>
    <row r="447" spans="1:15" x14ac:dyDescent="0.3">
      <c r="A447" t="s">
        <v>497</v>
      </c>
      <c r="B447" s="1">
        <v>45879</v>
      </c>
      <c r="C447" t="s">
        <v>22</v>
      </c>
      <c r="D447" t="s">
        <v>9</v>
      </c>
      <c r="E447" t="s">
        <v>18</v>
      </c>
      <c r="F447" t="s">
        <v>29</v>
      </c>
      <c r="G447" t="s">
        <v>29</v>
      </c>
      <c r="H447" t="s">
        <v>30</v>
      </c>
      <c r="I447" t="s">
        <v>8</v>
      </c>
      <c r="J447">
        <v>16</v>
      </c>
      <c r="K447">
        <v>291</v>
      </c>
      <c r="L447">
        <v>4656</v>
      </c>
      <c r="M447">
        <v>3947.7</v>
      </c>
      <c r="N447">
        <v>708.3</v>
      </c>
      <c r="O447" t="str">
        <f>TEXT(Table1[[#This Row],[Order_Date]],"yyy")</f>
        <v>2025</v>
      </c>
    </row>
    <row r="448" spans="1:15" x14ac:dyDescent="0.3">
      <c r="A448" t="s">
        <v>498</v>
      </c>
      <c r="B448" s="1">
        <v>45786</v>
      </c>
      <c r="C448" t="s">
        <v>3</v>
      </c>
      <c r="D448" t="s">
        <v>31</v>
      </c>
      <c r="E448" t="s">
        <v>11</v>
      </c>
      <c r="F448" t="s">
        <v>19</v>
      </c>
      <c r="G448" t="s">
        <v>19</v>
      </c>
      <c r="H448" t="s">
        <v>24</v>
      </c>
      <c r="I448" t="s">
        <v>15</v>
      </c>
      <c r="J448">
        <v>18</v>
      </c>
      <c r="K448">
        <v>4705</v>
      </c>
      <c r="L448">
        <v>84690</v>
      </c>
      <c r="M448">
        <v>60917.64</v>
      </c>
      <c r="N448">
        <v>23772.36</v>
      </c>
      <c r="O448" t="str">
        <f>TEXT(Table1[[#This Row],[Order_Date]],"yyy")</f>
        <v>2025</v>
      </c>
    </row>
    <row r="449" spans="1:15" x14ac:dyDescent="0.3">
      <c r="A449" t="s">
        <v>499</v>
      </c>
      <c r="B449" s="1">
        <v>45408</v>
      </c>
      <c r="C449" t="s">
        <v>22</v>
      </c>
      <c r="D449" t="s">
        <v>31</v>
      </c>
      <c r="E449" t="s">
        <v>11</v>
      </c>
      <c r="F449" t="s">
        <v>6</v>
      </c>
      <c r="G449" t="s">
        <v>6</v>
      </c>
      <c r="H449" t="s">
        <v>14</v>
      </c>
      <c r="I449" t="s">
        <v>8</v>
      </c>
      <c r="J449">
        <v>20</v>
      </c>
      <c r="K449">
        <v>3501</v>
      </c>
      <c r="L449">
        <v>70020</v>
      </c>
      <c r="M449">
        <v>51231.55</v>
      </c>
      <c r="N449">
        <v>18788.45</v>
      </c>
      <c r="O449" t="str">
        <f>TEXT(Table1[[#This Row],[Order_Date]],"yyy")</f>
        <v>2024</v>
      </c>
    </row>
    <row r="450" spans="1:15" x14ac:dyDescent="0.3">
      <c r="A450" t="s">
        <v>500</v>
      </c>
      <c r="B450" s="1">
        <v>45525</v>
      </c>
      <c r="C450" t="s">
        <v>22</v>
      </c>
      <c r="D450" t="s">
        <v>9</v>
      </c>
      <c r="E450" t="s">
        <v>18</v>
      </c>
      <c r="F450" t="s">
        <v>34</v>
      </c>
      <c r="G450" t="s">
        <v>34</v>
      </c>
      <c r="H450" t="s">
        <v>33</v>
      </c>
      <c r="I450" t="s">
        <v>8</v>
      </c>
      <c r="J450">
        <v>10</v>
      </c>
      <c r="K450">
        <v>2907</v>
      </c>
      <c r="L450">
        <v>29070</v>
      </c>
      <c r="M450">
        <v>19741.91</v>
      </c>
      <c r="N450">
        <v>9328.09</v>
      </c>
      <c r="O450" t="str">
        <f>TEXT(Table1[[#This Row],[Order_Date]],"yyy")</f>
        <v>2024</v>
      </c>
    </row>
    <row r="451" spans="1:15" x14ac:dyDescent="0.3">
      <c r="A451" t="s">
        <v>501</v>
      </c>
      <c r="B451" s="1">
        <v>45537</v>
      </c>
      <c r="C451" t="s">
        <v>10</v>
      </c>
      <c r="D451" t="s">
        <v>25</v>
      </c>
      <c r="E451" t="s">
        <v>18</v>
      </c>
      <c r="F451" t="s">
        <v>29</v>
      </c>
      <c r="G451" t="s">
        <v>29</v>
      </c>
      <c r="H451" t="s">
        <v>30</v>
      </c>
      <c r="I451" t="s">
        <v>15</v>
      </c>
      <c r="J451">
        <v>9</v>
      </c>
      <c r="K451">
        <v>4007</v>
      </c>
      <c r="L451">
        <v>36063</v>
      </c>
      <c r="M451">
        <v>28756.43</v>
      </c>
      <c r="N451">
        <v>7306.57</v>
      </c>
      <c r="O451" t="str">
        <f>TEXT(Table1[[#This Row],[Order_Date]],"yyy")</f>
        <v>2024</v>
      </c>
    </row>
    <row r="452" spans="1:15" x14ac:dyDescent="0.3">
      <c r="A452" t="s">
        <v>502</v>
      </c>
      <c r="B452" s="1">
        <v>45857</v>
      </c>
      <c r="C452" t="s">
        <v>22</v>
      </c>
      <c r="D452" t="s">
        <v>25</v>
      </c>
      <c r="E452" t="s">
        <v>11</v>
      </c>
      <c r="F452" t="s">
        <v>19</v>
      </c>
      <c r="G452" t="s">
        <v>19</v>
      </c>
      <c r="H452" t="s">
        <v>30</v>
      </c>
      <c r="I452" t="s">
        <v>15</v>
      </c>
      <c r="J452">
        <v>6</v>
      </c>
      <c r="K452">
        <v>2090</v>
      </c>
      <c r="L452">
        <v>12540</v>
      </c>
      <c r="M452">
        <v>7412.37</v>
      </c>
      <c r="N452">
        <v>5127.63</v>
      </c>
      <c r="O452" t="str">
        <f>TEXT(Table1[[#This Row],[Order_Date]],"yyy")</f>
        <v>2025</v>
      </c>
    </row>
    <row r="453" spans="1:15" x14ac:dyDescent="0.3">
      <c r="A453" t="s">
        <v>503</v>
      </c>
      <c r="B453" s="1">
        <v>45625</v>
      </c>
      <c r="C453" t="s">
        <v>10</v>
      </c>
      <c r="D453" t="s">
        <v>28</v>
      </c>
      <c r="E453" t="s">
        <v>18</v>
      </c>
      <c r="F453" t="s">
        <v>26</v>
      </c>
      <c r="G453" t="s">
        <v>26</v>
      </c>
      <c r="H453" t="s">
        <v>20</v>
      </c>
      <c r="I453" t="s">
        <v>15</v>
      </c>
      <c r="J453">
        <v>18</v>
      </c>
      <c r="K453">
        <v>3526</v>
      </c>
      <c r="L453">
        <v>63468</v>
      </c>
      <c r="M453">
        <v>36103.120000000003</v>
      </c>
      <c r="N453">
        <v>27364.880000000001</v>
      </c>
      <c r="O453" t="str">
        <f>TEXT(Table1[[#This Row],[Order_Date]],"yyy")</f>
        <v>2024</v>
      </c>
    </row>
    <row r="454" spans="1:15" x14ac:dyDescent="0.3">
      <c r="A454" t="s">
        <v>504</v>
      </c>
      <c r="B454" s="1">
        <v>45730</v>
      </c>
      <c r="C454" t="s">
        <v>3</v>
      </c>
      <c r="D454" t="s">
        <v>28</v>
      </c>
      <c r="E454" t="s">
        <v>4</v>
      </c>
      <c r="F454" t="s">
        <v>32</v>
      </c>
      <c r="G454" t="s">
        <v>32</v>
      </c>
      <c r="H454" t="s">
        <v>35</v>
      </c>
      <c r="I454" t="s">
        <v>8</v>
      </c>
      <c r="J454">
        <v>13</v>
      </c>
      <c r="K454">
        <v>3074</v>
      </c>
      <c r="L454">
        <v>39962</v>
      </c>
      <c r="M454">
        <v>31602.45</v>
      </c>
      <c r="N454">
        <v>8359.5499999999993</v>
      </c>
      <c r="O454" t="str">
        <f>TEXT(Table1[[#This Row],[Order_Date]],"yyy")</f>
        <v>2025</v>
      </c>
    </row>
    <row r="455" spans="1:15" x14ac:dyDescent="0.3">
      <c r="A455" t="s">
        <v>505</v>
      </c>
      <c r="B455" s="1">
        <v>45483</v>
      </c>
      <c r="C455" t="s">
        <v>3</v>
      </c>
      <c r="D455" t="s">
        <v>31</v>
      </c>
      <c r="E455" t="s">
        <v>11</v>
      </c>
      <c r="F455" t="s">
        <v>13</v>
      </c>
      <c r="G455" t="s">
        <v>13</v>
      </c>
      <c r="H455" t="s">
        <v>35</v>
      </c>
      <c r="I455" t="s">
        <v>15</v>
      </c>
      <c r="J455">
        <v>12</v>
      </c>
      <c r="K455">
        <v>762</v>
      </c>
      <c r="L455">
        <v>9144</v>
      </c>
      <c r="M455">
        <v>7626.1</v>
      </c>
      <c r="N455">
        <v>1517.9</v>
      </c>
      <c r="O455" t="str">
        <f>TEXT(Table1[[#This Row],[Order_Date]],"yyy")</f>
        <v>2024</v>
      </c>
    </row>
    <row r="456" spans="1:15" x14ac:dyDescent="0.3">
      <c r="A456" t="s">
        <v>506</v>
      </c>
      <c r="B456" s="1">
        <v>45444</v>
      </c>
      <c r="C456" t="s">
        <v>22</v>
      </c>
      <c r="D456" t="s">
        <v>28</v>
      </c>
      <c r="E456" t="s">
        <v>18</v>
      </c>
      <c r="F456" t="s">
        <v>26</v>
      </c>
      <c r="G456" t="s">
        <v>26</v>
      </c>
      <c r="H456" t="s">
        <v>33</v>
      </c>
      <c r="I456" t="s">
        <v>15</v>
      </c>
      <c r="J456">
        <v>1</v>
      </c>
      <c r="K456">
        <v>102</v>
      </c>
      <c r="L456">
        <v>102</v>
      </c>
      <c r="M456">
        <v>68.319999999999993</v>
      </c>
      <c r="N456">
        <v>33.68</v>
      </c>
      <c r="O456" t="str">
        <f>TEXT(Table1[[#This Row],[Order_Date]],"yyy")</f>
        <v>2024</v>
      </c>
    </row>
    <row r="457" spans="1:15" x14ac:dyDescent="0.3">
      <c r="A457" t="s">
        <v>507</v>
      </c>
      <c r="B457" s="1">
        <v>45815</v>
      </c>
      <c r="C457" t="s">
        <v>3</v>
      </c>
      <c r="D457" t="s">
        <v>9</v>
      </c>
      <c r="E457" t="s">
        <v>4</v>
      </c>
      <c r="F457" t="s">
        <v>36</v>
      </c>
      <c r="G457" t="s">
        <v>36</v>
      </c>
      <c r="H457" t="s">
        <v>30</v>
      </c>
      <c r="I457" t="s">
        <v>15</v>
      </c>
      <c r="J457">
        <v>15</v>
      </c>
      <c r="K457">
        <v>937</v>
      </c>
      <c r="L457">
        <v>14055</v>
      </c>
      <c r="M457">
        <v>10196.82</v>
      </c>
      <c r="N457">
        <v>3858.18</v>
      </c>
      <c r="O457" t="str">
        <f>TEXT(Table1[[#This Row],[Order_Date]],"yyy")</f>
        <v>2025</v>
      </c>
    </row>
    <row r="458" spans="1:15" x14ac:dyDescent="0.3">
      <c r="A458" t="s">
        <v>508</v>
      </c>
      <c r="B458" s="1">
        <v>45912</v>
      </c>
      <c r="C458" t="s">
        <v>17</v>
      </c>
      <c r="D458" t="s">
        <v>25</v>
      </c>
      <c r="E458" t="s">
        <v>4</v>
      </c>
      <c r="F458" t="s">
        <v>36</v>
      </c>
      <c r="G458" t="s">
        <v>36</v>
      </c>
      <c r="H458" t="s">
        <v>24</v>
      </c>
      <c r="I458" t="s">
        <v>8</v>
      </c>
      <c r="J458">
        <v>4</v>
      </c>
      <c r="K458">
        <v>3971</v>
      </c>
      <c r="L458">
        <v>15884</v>
      </c>
      <c r="M458">
        <v>11274.97</v>
      </c>
      <c r="N458">
        <v>4609.03</v>
      </c>
      <c r="O458" t="str">
        <f>TEXT(Table1[[#This Row],[Order_Date]],"yyy")</f>
        <v>2025</v>
      </c>
    </row>
    <row r="459" spans="1:15" x14ac:dyDescent="0.3">
      <c r="A459" t="s">
        <v>509</v>
      </c>
      <c r="B459" s="1">
        <v>45912</v>
      </c>
      <c r="C459" t="s">
        <v>22</v>
      </c>
      <c r="D459" t="s">
        <v>9</v>
      </c>
      <c r="E459" t="s">
        <v>4</v>
      </c>
      <c r="F459" t="s">
        <v>23</v>
      </c>
      <c r="G459" t="s">
        <v>23</v>
      </c>
      <c r="H459" t="s">
        <v>35</v>
      </c>
      <c r="I459" t="s">
        <v>8</v>
      </c>
      <c r="J459">
        <v>1</v>
      </c>
      <c r="K459">
        <v>3197</v>
      </c>
      <c r="L459">
        <v>3197</v>
      </c>
      <c r="M459">
        <v>1995.99</v>
      </c>
      <c r="N459">
        <v>1201.01</v>
      </c>
      <c r="O459" t="str">
        <f>TEXT(Table1[[#This Row],[Order_Date]],"yyy")</f>
        <v>2025</v>
      </c>
    </row>
    <row r="460" spans="1:15" x14ac:dyDescent="0.3">
      <c r="A460" t="s">
        <v>510</v>
      </c>
      <c r="B460" s="1">
        <v>45378</v>
      </c>
      <c r="C460" t="s">
        <v>17</v>
      </c>
      <c r="D460" t="s">
        <v>28</v>
      </c>
      <c r="E460" t="s">
        <v>18</v>
      </c>
      <c r="F460" t="s">
        <v>26</v>
      </c>
      <c r="G460" t="s">
        <v>26</v>
      </c>
      <c r="H460" t="s">
        <v>20</v>
      </c>
      <c r="I460" t="s">
        <v>15</v>
      </c>
      <c r="J460">
        <v>12</v>
      </c>
      <c r="K460">
        <v>908</v>
      </c>
      <c r="L460">
        <v>10896</v>
      </c>
      <c r="M460">
        <v>8636.02</v>
      </c>
      <c r="N460">
        <v>2259.98</v>
      </c>
      <c r="O460" t="str">
        <f>TEXT(Table1[[#This Row],[Order_Date]],"yyy")</f>
        <v>2024</v>
      </c>
    </row>
    <row r="461" spans="1:15" x14ac:dyDescent="0.3">
      <c r="A461" t="s">
        <v>511</v>
      </c>
      <c r="B461" s="1">
        <v>45855</v>
      </c>
      <c r="C461" t="s">
        <v>10</v>
      </c>
      <c r="D461" t="s">
        <v>28</v>
      </c>
      <c r="E461" t="s">
        <v>18</v>
      </c>
      <c r="F461" t="s">
        <v>26</v>
      </c>
      <c r="G461" t="s">
        <v>26</v>
      </c>
      <c r="H461" t="s">
        <v>33</v>
      </c>
      <c r="I461" t="s">
        <v>8</v>
      </c>
      <c r="J461">
        <v>1</v>
      </c>
      <c r="K461">
        <v>3892</v>
      </c>
      <c r="L461">
        <v>3892</v>
      </c>
      <c r="M461">
        <v>2433.36</v>
      </c>
      <c r="N461">
        <v>1458.64</v>
      </c>
      <c r="O461" t="str">
        <f>TEXT(Table1[[#This Row],[Order_Date]],"yyy")</f>
        <v>2025</v>
      </c>
    </row>
    <row r="462" spans="1:15" x14ac:dyDescent="0.3">
      <c r="A462" t="s">
        <v>512</v>
      </c>
      <c r="B462" s="1">
        <v>45693</v>
      </c>
      <c r="C462" t="s">
        <v>22</v>
      </c>
      <c r="D462" t="s">
        <v>21</v>
      </c>
      <c r="E462" t="s">
        <v>4</v>
      </c>
      <c r="F462" t="s">
        <v>23</v>
      </c>
      <c r="G462" t="s">
        <v>23</v>
      </c>
      <c r="H462" t="s">
        <v>7</v>
      </c>
      <c r="I462" t="s">
        <v>15</v>
      </c>
      <c r="J462">
        <v>16</v>
      </c>
      <c r="K462">
        <v>1794</v>
      </c>
      <c r="L462">
        <v>28704</v>
      </c>
      <c r="M462">
        <v>17323.61</v>
      </c>
      <c r="N462">
        <v>11380.39</v>
      </c>
      <c r="O462" t="str">
        <f>TEXT(Table1[[#This Row],[Order_Date]],"yyy")</f>
        <v>2025</v>
      </c>
    </row>
    <row r="463" spans="1:15" x14ac:dyDescent="0.3">
      <c r="A463" t="s">
        <v>513</v>
      </c>
      <c r="B463" s="1">
        <v>45532</v>
      </c>
      <c r="C463" t="s">
        <v>17</v>
      </c>
      <c r="D463" t="s">
        <v>28</v>
      </c>
      <c r="E463" t="s">
        <v>4</v>
      </c>
      <c r="F463" t="s">
        <v>36</v>
      </c>
      <c r="G463" t="s">
        <v>36</v>
      </c>
      <c r="H463" t="s">
        <v>35</v>
      </c>
      <c r="I463" t="s">
        <v>15</v>
      </c>
      <c r="J463">
        <v>8</v>
      </c>
      <c r="K463">
        <v>2198</v>
      </c>
      <c r="L463">
        <v>17584</v>
      </c>
      <c r="M463">
        <v>10524.24</v>
      </c>
      <c r="N463">
        <v>7059.76</v>
      </c>
      <c r="O463" t="str">
        <f>TEXT(Table1[[#This Row],[Order_Date]],"yyy")</f>
        <v>2024</v>
      </c>
    </row>
    <row r="464" spans="1:15" x14ac:dyDescent="0.3">
      <c r="A464" t="s">
        <v>514</v>
      </c>
      <c r="B464" s="1">
        <v>45802</v>
      </c>
      <c r="C464" t="s">
        <v>17</v>
      </c>
      <c r="D464" t="s">
        <v>21</v>
      </c>
      <c r="E464" t="s">
        <v>11</v>
      </c>
      <c r="F464" t="s">
        <v>6</v>
      </c>
      <c r="G464" t="s">
        <v>6</v>
      </c>
      <c r="H464" t="s">
        <v>24</v>
      </c>
      <c r="I464" t="s">
        <v>15</v>
      </c>
      <c r="J464">
        <v>11</v>
      </c>
      <c r="K464">
        <v>2228</v>
      </c>
      <c r="L464">
        <v>24508</v>
      </c>
      <c r="M464">
        <v>14581.92</v>
      </c>
      <c r="N464">
        <v>9926.08</v>
      </c>
      <c r="O464" t="str">
        <f>TEXT(Table1[[#This Row],[Order_Date]],"yyy")</f>
        <v>2025</v>
      </c>
    </row>
    <row r="465" spans="1:15" x14ac:dyDescent="0.3">
      <c r="A465" t="s">
        <v>515</v>
      </c>
      <c r="B465" s="1">
        <v>45576</v>
      </c>
      <c r="C465" t="s">
        <v>17</v>
      </c>
      <c r="D465" t="s">
        <v>31</v>
      </c>
      <c r="E465" t="s">
        <v>4</v>
      </c>
      <c r="F465" t="s">
        <v>32</v>
      </c>
      <c r="G465" t="s">
        <v>32</v>
      </c>
      <c r="H465" t="s">
        <v>24</v>
      </c>
      <c r="I465" t="s">
        <v>15</v>
      </c>
      <c r="J465">
        <v>17</v>
      </c>
      <c r="K465">
        <v>4483</v>
      </c>
      <c r="L465">
        <v>76211</v>
      </c>
      <c r="M465">
        <v>55702.239999999998</v>
      </c>
      <c r="N465">
        <v>20508.759999999998</v>
      </c>
      <c r="O465" t="str">
        <f>TEXT(Table1[[#This Row],[Order_Date]],"yyy")</f>
        <v>2024</v>
      </c>
    </row>
    <row r="466" spans="1:15" x14ac:dyDescent="0.3">
      <c r="A466" t="s">
        <v>516</v>
      </c>
      <c r="B466" s="1">
        <v>45536</v>
      </c>
      <c r="C466" t="s">
        <v>17</v>
      </c>
      <c r="D466" t="s">
        <v>9</v>
      </c>
      <c r="E466" t="s">
        <v>18</v>
      </c>
      <c r="F466" t="s">
        <v>29</v>
      </c>
      <c r="G466" t="s">
        <v>29</v>
      </c>
      <c r="H466" t="s">
        <v>7</v>
      </c>
      <c r="I466" t="s">
        <v>15</v>
      </c>
      <c r="J466">
        <v>19</v>
      </c>
      <c r="K466">
        <v>2704</v>
      </c>
      <c r="L466">
        <v>51376</v>
      </c>
      <c r="M466">
        <v>41646.639999999999</v>
      </c>
      <c r="N466">
        <v>9729.36</v>
      </c>
      <c r="O466" t="str">
        <f>TEXT(Table1[[#This Row],[Order_Date]],"yyy")</f>
        <v>2024</v>
      </c>
    </row>
    <row r="467" spans="1:15" x14ac:dyDescent="0.3">
      <c r="A467" t="s">
        <v>517</v>
      </c>
      <c r="B467" s="1">
        <v>45724</v>
      </c>
      <c r="C467" t="s">
        <v>22</v>
      </c>
      <c r="D467" t="s">
        <v>31</v>
      </c>
      <c r="E467" t="s">
        <v>18</v>
      </c>
      <c r="F467" t="s">
        <v>26</v>
      </c>
      <c r="G467" t="s">
        <v>26</v>
      </c>
      <c r="H467" t="s">
        <v>30</v>
      </c>
      <c r="I467" t="s">
        <v>8</v>
      </c>
      <c r="J467">
        <v>12</v>
      </c>
      <c r="K467">
        <v>837</v>
      </c>
      <c r="L467">
        <v>10044</v>
      </c>
      <c r="M467">
        <v>5590.11</v>
      </c>
      <c r="N467">
        <v>4453.8900000000003</v>
      </c>
      <c r="O467" t="str">
        <f>TEXT(Table1[[#This Row],[Order_Date]],"yyy")</f>
        <v>2025</v>
      </c>
    </row>
    <row r="468" spans="1:15" x14ac:dyDescent="0.3">
      <c r="A468" t="s">
        <v>518</v>
      </c>
      <c r="B468" s="1">
        <v>45398</v>
      </c>
      <c r="C468" t="s">
        <v>10</v>
      </c>
      <c r="D468" t="s">
        <v>25</v>
      </c>
      <c r="E468" t="s">
        <v>4</v>
      </c>
      <c r="F468" t="s">
        <v>36</v>
      </c>
      <c r="G468" t="s">
        <v>36</v>
      </c>
      <c r="H468" t="s">
        <v>30</v>
      </c>
      <c r="I468" t="s">
        <v>8</v>
      </c>
      <c r="J468">
        <v>10</v>
      </c>
      <c r="K468">
        <v>3690</v>
      </c>
      <c r="L468">
        <v>36900</v>
      </c>
      <c r="M468">
        <v>22593.15</v>
      </c>
      <c r="N468">
        <v>14306.85</v>
      </c>
      <c r="O468" t="str">
        <f>TEXT(Table1[[#This Row],[Order_Date]],"yyy")</f>
        <v>2024</v>
      </c>
    </row>
    <row r="469" spans="1:15" x14ac:dyDescent="0.3">
      <c r="A469" t="s">
        <v>519</v>
      </c>
      <c r="B469" s="1">
        <v>45296</v>
      </c>
      <c r="C469" t="s">
        <v>22</v>
      </c>
      <c r="D469" t="s">
        <v>28</v>
      </c>
      <c r="E469" t="s">
        <v>18</v>
      </c>
      <c r="F469" t="s">
        <v>29</v>
      </c>
      <c r="G469" t="s">
        <v>29</v>
      </c>
      <c r="H469" t="s">
        <v>30</v>
      </c>
      <c r="I469" t="s">
        <v>8</v>
      </c>
      <c r="J469">
        <v>4</v>
      </c>
      <c r="K469">
        <v>2579</v>
      </c>
      <c r="L469">
        <v>10316</v>
      </c>
      <c r="M469">
        <v>6531.58</v>
      </c>
      <c r="N469">
        <v>3784.42</v>
      </c>
      <c r="O469" t="str">
        <f>TEXT(Table1[[#This Row],[Order_Date]],"yyy")</f>
        <v>2024</v>
      </c>
    </row>
    <row r="470" spans="1:15" x14ac:dyDescent="0.3">
      <c r="A470" t="s">
        <v>520</v>
      </c>
      <c r="B470" s="1">
        <v>45962</v>
      </c>
      <c r="C470" t="s">
        <v>22</v>
      </c>
      <c r="D470" t="s">
        <v>25</v>
      </c>
      <c r="E470" t="s">
        <v>11</v>
      </c>
      <c r="F470" t="s">
        <v>6</v>
      </c>
      <c r="G470" t="s">
        <v>6</v>
      </c>
      <c r="H470" t="s">
        <v>14</v>
      </c>
      <c r="I470" t="s">
        <v>15</v>
      </c>
      <c r="J470">
        <v>12</v>
      </c>
      <c r="K470">
        <v>3053</v>
      </c>
      <c r="L470">
        <v>36636</v>
      </c>
      <c r="M470">
        <v>27663.3</v>
      </c>
      <c r="N470">
        <v>8972.7000000000007</v>
      </c>
      <c r="O470" t="str">
        <f>TEXT(Table1[[#This Row],[Order_Date]],"yyy")</f>
        <v>2025</v>
      </c>
    </row>
    <row r="471" spans="1:15" x14ac:dyDescent="0.3">
      <c r="A471" t="s">
        <v>521</v>
      </c>
      <c r="B471" s="1">
        <v>45682</v>
      </c>
      <c r="C471" t="s">
        <v>3</v>
      </c>
      <c r="D471" t="s">
        <v>16</v>
      </c>
      <c r="E471" t="s">
        <v>18</v>
      </c>
      <c r="F471" t="s">
        <v>26</v>
      </c>
      <c r="G471" t="s">
        <v>26</v>
      </c>
      <c r="H471" t="s">
        <v>33</v>
      </c>
      <c r="I471" t="s">
        <v>15</v>
      </c>
      <c r="J471">
        <v>8</v>
      </c>
      <c r="K471">
        <v>3535</v>
      </c>
      <c r="L471">
        <v>28280</v>
      </c>
      <c r="M471">
        <v>17565.759999999998</v>
      </c>
      <c r="N471">
        <v>10714.24</v>
      </c>
      <c r="O471" t="str">
        <f>TEXT(Table1[[#This Row],[Order_Date]],"yyy")</f>
        <v>2025</v>
      </c>
    </row>
    <row r="472" spans="1:15" x14ac:dyDescent="0.3">
      <c r="A472" t="s">
        <v>522</v>
      </c>
      <c r="B472" s="1">
        <v>45443</v>
      </c>
      <c r="C472" t="s">
        <v>10</v>
      </c>
      <c r="D472" t="s">
        <v>28</v>
      </c>
      <c r="E472" t="s">
        <v>4</v>
      </c>
      <c r="F472" t="s">
        <v>36</v>
      </c>
      <c r="G472" t="s">
        <v>36</v>
      </c>
      <c r="H472" t="s">
        <v>24</v>
      </c>
      <c r="I472" t="s">
        <v>8</v>
      </c>
      <c r="J472">
        <v>4</v>
      </c>
      <c r="K472">
        <v>4872</v>
      </c>
      <c r="L472">
        <v>19488</v>
      </c>
      <c r="M472">
        <v>11193.61</v>
      </c>
      <c r="N472">
        <v>8294.39</v>
      </c>
      <c r="O472" t="str">
        <f>TEXT(Table1[[#This Row],[Order_Date]],"yyy")</f>
        <v>2024</v>
      </c>
    </row>
    <row r="473" spans="1:15" x14ac:dyDescent="0.3">
      <c r="A473" t="s">
        <v>523</v>
      </c>
      <c r="B473" s="1">
        <v>45309</v>
      </c>
      <c r="C473" t="s">
        <v>10</v>
      </c>
      <c r="D473" t="s">
        <v>9</v>
      </c>
      <c r="E473" t="s">
        <v>18</v>
      </c>
      <c r="F473" t="s">
        <v>26</v>
      </c>
      <c r="G473" t="s">
        <v>26</v>
      </c>
      <c r="H473" t="s">
        <v>30</v>
      </c>
      <c r="I473" t="s">
        <v>15</v>
      </c>
      <c r="J473">
        <v>12</v>
      </c>
      <c r="K473">
        <v>3336</v>
      </c>
      <c r="L473">
        <v>40032</v>
      </c>
      <c r="M473">
        <v>26159.01</v>
      </c>
      <c r="N473">
        <v>13872.99</v>
      </c>
      <c r="O473" t="str">
        <f>TEXT(Table1[[#This Row],[Order_Date]],"yyy")</f>
        <v>2024</v>
      </c>
    </row>
    <row r="474" spans="1:15" x14ac:dyDescent="0.3">
      <c r="A474" t="s">
        <v>524</v>
      </c>
      <c r="B474" s="1">
        <v>45711</v>
      </c>
      <c r="C474" t="s">
        <v>3</v>
      </c>
      <c r="D474" t="s">
        <v>25</v>
      </c>
      <c r="E474" t="s">
        <v>4</v>
      </c>
      <c r="F474" t="s">
        <v>23</v>
      </c>
      <c r="G474" t="s">
        <v>23</v>
      </c>
      <c r="H474" t="s">
        <v>35</v>
      </c>
      <c r="I474" t="s">
        <v>8</v>
      </c>
      <c r="J474">
        <v>15</v>
      </c>
      <c r="K474">
        <v>2667</v>
      </c>
      <c r="L474">
        <v>40005</v>
      </c>
      <c r="M474">
        <v>29295.61</v>
      </c>
      <c r="N474">
        <v>10709.39</v>
      </c>
      <c r="O474" t="str">
        <f>TEXT(Table1[[#This Row],[Order_Date]],"yyy")</f>
        <v>2025</v>
      </c>
    </row>
    <row r="475" spans="1:15" x14ac:dyDescent="0.3">
      <c r="A475" t="s">
        <v>525</v>
      </c>
      <c r="B475" s="1">
        <v>45613</v>
      </c>
      <c r="C475" t="s">
        <v>3</v>
      </c>
      <c r="D475" t="s">
        <v>9</v>
      </c>
      <c r="E475" t="s">
        <v>18</v>
      </c>
      <c r="F475" t="s">
        <v>29</v>
      </c>
      <c r="G475" t="s">
        <v>29</v>
      </c>
      <c r="H475" t="s">
        <v>35</v>
      </c>
      <c r="I475" t="s">
        <v>15</v>
      </c>
      <c r="J475">
        <v>6</v>
      </c>
      <c r="K475">
        <v>3029</v>
      </c>
      <c r="L475">
        <v>18174</v>
      </c>
      <c r="M475">
        <v>10476.92</v>
      </c>
      <c r="N475">
        <v>7697.08</v>
      </c>
      <c r="O475" t="str">
        <f>TEXT(Table1[[#This Row],[Order_Date]],"yyy")</f>
        <v>2024</v>
      </c>
    </row>
    <row r="476" spans="1:15" x14ac:dyDescent="0.3">
      <c r="A476" t="s">
        <v>526</v>
      </c>
      <c r="B476" s="1">
        <v>45567</v>
      </c>
      <c r="C476" t="s">
        <v>22</v>
      </c>
      <c r="D476" t="s">
        <v>31</v>
      </c>
      <c r="E476" t="s">
        <v>11</v>
      </c>
      <c r="F476" t="s">
        <v>13</v>
      </c>
      <c r="G476" t="s">
        <v>13</v>
      </c>
      <c r="H476" t="s">
        <v>30</v>
      </c>
      <c r="I476" t="s">
        <v>8</v>
      </c>
      <c r="J476">
        <v>16</v>
      </c>
      <c r="K476">
        <v>809</v>
      </c>
      <c r="L476">
        <v>12944</v>
      </c>
      <c r="M476">
        <v>10961.83</v>
      </c>
      <c r="N476">
        <v>1982.17</v>
      </c>
      <c r="O476" t="str">
        <f>TEXT(Table1[[#This Row],[Order_Date]],"yyy")</f>
        <v>2024</v>
      </c>
    </row>
    <row r="477" spans="1:15" x14ac:dyDescent="0.3">
      <c r="A477" t="s">
        <v>527</v>
      </c>
      <c r="B477" s="1">
        <v>45926</v>
      </c>
      <c r="C477" t="s">
        <v>17</v>
      </c>
      <c r="D477" t="s">
        <v>25</v>
      </c>
      <c r="E477" t="s">
        <v>4</v>
      </c>
      <c r="F477" t="s">
        <v>23</v>
      </c>
      <c r="G477" t="s">
        <v>23</v>
      </c>
      <c r="H477" t="s">
        <v>33</v>
      </c>
      <c r="I477" t="s">
        <v>15</v>
      </c>
      <c r="J477">
        <v>9</v>
      </c>
      <c r="K477">
        <v>3564</v>
      </c>
      <c r="L477">
        <v>32076</v>
      </c>
      <c r="M477">
        <v>27047.42</v>
      </c>
      <c r="N477">
        <v>5028.58</v>
      </c>
      <c r="O477" t="str">
        <f>TEXT(Table1[[#This Row],[Order_Date]],"yyy")</f>
        <v>2025</v>
      </c>
    </row>
    <row r="478" spans="1:15" x14ac:dyDescent="0.3">
      <c r="A478" t="s">
        <v>528</v>
      </c>
      <c r="B478" s="1">
        <v>46005</v>
      </c>
      <c r="C478" t="s">
        <v>17</v>
      </c>
      <c r="D478" t="s">
        <v>28</v>
      </c>
      <c r="E478" t="s">
        <v>4</v>
      </c>
      <c r="F478" t="s">
        <v>32</v>
      </c>
      <c r="G478" t="s">
        <v>32</v>
      </c>
      <c r="H478" t="s">
        <v>20</v>
      </c>
      <c r="I478" t="s">
        <v>15</v>
      </c>
      <c r="J478">
        <v>3</v>
      </c>
      <c r="K478">
        <v>4426</v>
      </c>
      <c r="L478">
        <v>13278</v>
      </c>
      <c r="M478">
        <v>8719.18</v>
      </c>
      <c r="N478">
        <v>4558.82</v>
      </c>
      <c r="O478" t="str">
        <f>TEXT(Table1[[#This Row],[Order_Date]],"yyy")</f>
        <v>2025</v>
      </c>
    </row>
    <row r="479" spans="1:15" x14ac:dyDescent="0.3">
      <c r="A479" t="s">
        <v>529</v>
      </c>
      <c r="B479" s="1">
        <v>45981</v>
      </c>
      <c r="C479" t="s">
        <v>22</v>
      </c>
      <c r="D479" t="s">
        <v>31</v>
      </c>
      <c r="E479" t="s">
        <v>11</v>
      </c>
      <c r="F479" t="s">
        <v>6</v>
      </c>
      <c r="G479" t="s">
        <v>6</v>
      </c>
      <c r="H479" t="s">
        <v>27</v>
      </c>
      <c r="I479" t="s">
        <v>8</v>
      </c>
      <c r="J479">
        <v>6</v>
      </c>
      <c r="K479">
        <v>4274</v>
      </c>
      <c r="L479">
        <v>25644</v>
      </c>
      <c r="M479">
        <v>21539.7</v>
      </c>
      <c r="N479">
        <v>4104.3</v>
      </c>
      <c r="O479" t="str">
        <f>TEXT(Table1[[#This Row],[Order_Date]],"yyy")</f>
        <v>2025</v>
      </c>
    </row>
    <row r="480" spans="1:15" x14ac:dyDescent="0.3">
      <c r="A480" t="s">
        <v>530</v>
      </c>
      <c r="B480" s="1">
        <v>45699</v>
      </c>
      <c r="C480" t="s">
        <v>3</v>
      </c>
      <c r="D480" t="s">
        <v>16</v>
      </c>
      <c r="E480" t="s">
        <v>4</v>
      </c>
      <c r="F480" t="s">
        <v>36</v>
      </c>
      <c r="G480" t="s">
        <v>36</v>
      </c>
      <c r="H480" t="s">
        <v>30</v>
      </c>
      <c r="I480" t="s">
        <v>15</v>
      </c>
      <c r="J480">
        <v>16</v>
      </c>
      <c r="K480">
        <v>4838</v>
      </c>
      <c r="L480">
        <v>77408</v>
      </c>
      <c r="M480">
        <v>48582.37</v>
      </c>
      <c r="N480">
        <v>28825.63</v>
      </c>
      <c r="O480" t="str">
        <f>TEXT(Table1[[#This Row],[Order_Date]],"yyy")</f>
        <v>2025</v>
      </c>
    </row>
    <row r="481" spans="1:15" x14ac:dyDescent="0.3">
      <c r="A481" t="s">
        <v>531</v>
      </c>
      <c r="B481" s="1">
        <v>45881</v>
      </c>
      <c r="C481" t="s">
        <v>3</v>
      </c>
      <c r="D481" t="s">
        <v>25</v>
      </c>
      <c r="E481" t="s">
        <v>4</v>
      </c>
      <c r="F481" t="s">
        <v>36</v>
      </c>
      <c r="G481" t="s">
        <v>36</v>
      </c>
      <c r="H481" t="s">
        <v>14</v>
      </c>
      <c r="I481" t="s">
        <v>15</v>
      </c>
      <c r="J481">
        <v>6</v>
      </c>
      <c r="K481">
        <v>1646</v>
      </c>
      <c r="L481">
        <v>9876</v>
      </c>
      <c r="M481">
        <v>7142.05</v>
      </c>
      <c r="N481">
        <v>2733.95</v>
      </c>
      <c r="O481" t="str">
        <f>TEXT(Table1[[#This Row],[Order_Date]],"yyy")</f>
        <v>2025</v>
      </c>
    </row>
    <row r="482" spans="1:15" x14ac:dyDescent="0.3">
      <c r="A482" t="s">
        <v>532</v>
      </c>
      <c r="B482" s="1">
        <v>45607</v>
      </c>
      <c r="C482" t="s">
        <v>10</v>
      </c>
      <c r="D482" t="s">
        <v>9</v>
      </c>
      <c r="E482" t="s">
        <v>18</v>
      </c>
      <c r="F482" t="s">
        <v>34</v>
      </c>
      <c r="G482" t="s">
        <v>34</v>
      </c>
      <c r="H482" t="s">
        <v>35</v>
      </c>
      <c r="I482" t="s">
        <v>15</v>
      </c>
      <c r="J482">
        <v>1</v>
      </c>
      <c r="K482">
        <v>1919</v>
      </c>
      <c r="L482">
        <v>1919</v>
      </c>
      <c r="M482">
        <v>1256.1300000000001</v>
      </c>
      <c r="N482">
        <v>662.87</v>
      </c>
      <c r="O482" t="str">
        <f>TEXT(Table1[[#This Row],[Order_Date]],"yyy")</f>
        <v>2024</v>
      </c>
    </row>
    <row r="483" spans="1:15" x14ac:dyDescent="0.3">
      <c r="A483" t="s">
        <v>533</v>
      </c>
      <c r="B483" s="1">
        <v>45471</v>
      </c>
      <c r="C483" t="s">
        <v>22</v>
      </c>
      <c r="D483" t="s">
        <v>9</v>
      </c>
      <c r="E483" t="s">
        <v>4</v>
      </c>
      <c r="F483" t="s">
        <v>36</v>
      </c>
      <c r="G483" t="s">
        <v>36</v>
      </c>
      <c r="H483" t="s">
        <v>24</v>
      </c>
      <c r="I483" t="s">
        <v>8</v>
      </c>
      <c r="J483">
        <v>13</v>
      </c>
      <c r="K483">
        <v>4498</v>
      </c>
      <c r="L483">
        <v>58474</v>
      </c>
      <c r="M483">
        <v>39903.74</v>
      </c>
      <c r="N483">
        <v>18570.259999999998</v>
      </c>
      <c r="O483" t="str">
        <f>TEXT(Table1[[#This Row],[Order_Date]],"yyy")</f>
        <v>2024</v>
      </c>
    </row>
    <row r="484" spans="1:15" x14ac:dyDescent="0.3">
      <c r="A484" t="s">
        <v>534</v>
      </c>
      <c r="B484" s="1">
        <v>45589</v>
      </c>
      <c r="C484" t="s">
        <v>10</v>
      </c>
      <c r="D484" t="s">
        <v>28</v>
      </c>
      <c r="E484" t="s">
        <v>18</v>
      </c>
      <c r="F484" t="s">
        <v>34</v>
      </c>
      <c r="G484" t="s">
        <v>34</v>
      </c>
      <c r="H484" t="s">
        <v>24</v>
      </c>
      <c r="I484" t="s">
        <v>15</v>
      </c>
      <c r="J484">
        <v>14</v>
      </c>
      <c r="K484">
        <v>2180</v>
      </c>
      <c r="L484">
        <v>30520</v>
      </c>
      <c r="M484">
        <v>19588.419999999998</v>
      </c>
      <c r="N484">
        <v>10931.58</v>
      </c>
      <c r="O484" t="str">
        <f>TEXT(Table1[[#This Row],[Order_Date]],"yyy")</f>
        <v>2024</v>
      </c>
    </row>
    <row r="485" spans="1:15" x14ac:dyDescent="0.3">
      <c r="A485" t="s">
        <v>535</v>
      </c>
      <c r="B485" s="1">
        <v>45979</v>
      </c>
      <c r="C485" t="s">
        <v>3</v>
      </c>
      <c r="D485" t="s">
        <v>16</v>
      </c>
      <c r="E485" t="s">
        <v>18</v>
      </c>
      <c r="F485" t="s">
        <v>29</v>
      </c>
      <c r="G485" t="s">
        <v>29</v>
      </c>
      <c r="H485" t="s">
        <v>33</v>
      </c>
      <c r="I485" t="s">
        <v>8</v>
      </c>
      <c r="J485">
        <v>4</v>
      </c>
      <c r="K485">
        <v>4006</v>
      </c>
      <c r="L485">
        <v>16024</v>
      </c>
      <c r="M485">
        <v>11337.03</v>
      </c>
      <c r="N485">
        <v>4686.97</v>
      </c>
      <c r="O485" t="str">
        <f>TEXT(Table1[[#This Row],[Order_Date]],"yyy")</f>
        <v>2025</v>
      </c>
    </row>
    <row r="486" spans="1:15" x14ac:dyDescent="0.3">
      <c r="A486" t="s">
        <v>536</v>
      </c>
      <c r="B486" s="1">
        <v>45571</v>
      </c>
      <c r="C486" t="s">
        <v>17</v>
      </c>
      <c r="D486" t="s">
        <v>28</v>
      </c>
      <c r="E486" t="s">
        <v>11</v>
      </c>
      <c r="F486" t="s">
        <v>13</v>
      </c>
      <c r="G486" t="s">
        <v>13</v>
      </c>
      <c r="H486" t="s">
        <v>14</v>
      </c>
      <c r="I486" t="s">
        <v>15</v>
      </c>
      <c r="J486">
        <v>19</v>
      </c>
      <c r="K486">
        <v>482</v>
      </c>
      <c r="L486">
        <v>9158</v>
      </c>
      <c r="M486">
        <v>6545.72</v>
      </c>
      <c r="N486">
        <v>2612.2800000000002</v>
      </c>
      <c r="O486" t="str">
        <f>TEXT(Table1[[#This Row],[Order_Date]],"yyy")</f>
        <v>2024</v>
      </c>
    </row>
    <row r="487" spans="1:15" x14ac:dyDescent="0.3">
      <c r="A487" t="s">
        <v>537</v>
      </c>
      <c r="B487" s="1">
        <v>46008</v>
      </c>
      <c r="C487" t="s">
        <v>10</v>
      </c>
      <c r="D487" t="s">
        <v>25</v>
      </c>
      <c r="E487" t="s">
        <v>11</v>
      </c>
      <c r="F487" t="s">
        <v>13</v>
      </c>
      <c r="G487" t="s">
        <v>13</v>
      </c>
      <c r="H487" t="s">
        <v>24</v>
      </c>
      <c r="I487" t="s">
        <v>15</v>
      </c>
      <c r="J487">
        <v>17</v>
      </c>
      <c r="K487">
        <v>1496</v>
      </c>
      <c r="L487">
        <v>25432</v>
      </c>
      <c r="M487">
        <v>17050.759999999998</v>
      </c>
      <c r="N487">
        <v>8381.24</v>
      </c>
      <c r="O487" t="str">
        <f>TEXT(Table1[[#This Row],[Order_Date]],"yyy")</f>
        <v>2025</v>
      </c>
    </row>
    <row r="488" spans="1:15" x14ac:dyDescent="0.3">
      <c r="A488" t="s">
        <v>538</v>
      </c>
      <c r="B488" s="1">
        <v>45950</v>
      </c>
      <c r="C488" t="s">
        <v>22</v>
      </c>
      <c r="D488" t="s">
        <v>31</v>
      </c>
      <c r="E488" t="s">
        <v>11</v>
      </c>
      <c r="F488" t="s">
        <v>13</v>
      </c>
      <c r="G488" t="s">
        <v>13</v>
      </c>
      <c r="H488" t="s">
        <v>14</v>
      </c>
      <c r="I488" t="s">
        <v>8</v>
      </c>
      <c r="J488">
        <v>1</v>
      </c>
      <c r="K488">
        <v>724</v>
      </c>
      <c r="L488">
        <v>724</v>
      </c>
      <c r="M488">
        <v>529.25</v>
      </c>
      <c r="N488">
        <v>194.75</v>
      </c>
      <c r="O488" t="str">
        <f>TEXT(Table1[[#This Row],[Order_Date]],"yyy")</f>
        <v>2025</v>
      </c>
    </row>
    <row r="489" spans="1:15" x14ac:dyDescent="0.3">
      <c r="A489" t="s">
        <v>539</v>
      </c>
      <c r="B489" s="1">
        <v>45443</v>
      </c>
      <c r="C489" t="s">
        <v>10</v>
      </c>
      <c r="D489" t="s">
        <v>25</v>
      </c>
      <c r="E489" t="s">
        <v>4</v>
      </c>
      <c r="F489" t="s">
        <v>32</v>
      </c>
      <c r="G489" t="s">
        <v>32</v>
      </c>
      <c r="H489" t="s">
        <v>30</v>
      </c>
      <c r="I489" t="s">
        <v>15</v>
      </c>
      <c r="J489">
        <v>1</v>
      </c>
      <c r="K489">
        <v>147</v>
      </c>
      <c r="L489">
        <v>147</v>
      </c>
      <c r="M489">
        <v>112.61</v>
      </c>
      <c r="N489">
        <v>34.39</v>
      </c>
      <c r="O489" t="str">
        <f>TEXT(Table1[[#This Row],[Order_Date]],"yyy")</f>
        <v>2024</v>
      </c>
    </row>
    <row r="490" spans="1:15" x14ac:dyDescent="0.3">
      <c r="A490" t="s">
        <v>540</v>
      </c>
      <c r="B490" s="1">
        <v>45377</v>
      </c>
      <c r="C490" t="s">
        <v>22</v>
      </c>
      <c r="D490" t="s">
        <v>31</v>
      </c>
      <c r="E490" t="s">
        <v>18</v>
      </c>
      <c r="F490" t="s">
        <v>34</v>
      </c>
      <c r="G490" t="s">
        <v>34</v>
      </c>
      <c r="H490" t="s">
        <v>24</v>
      </c>
      <c r="I490" t="s">
        <v>15</v>
      </c>
      <c r="J490">
        <v>1</v>
      </c>
      <c r="K490">
        <v>4917</v>
      </c>
      <c r="L490">
        <v>4917</v>
      </c>
      <c r="M490">
        <v>3219.3</v>
      </c>
      <c r="N490">
        <v>1697.7</v>
      </c>
      <c r="O490" t="str">
        <f>TEXT(Table1[[#This Row],[Order_Date]],"yyy")</f>
        <v>2024</v>
      </c>
    </row>
    <row r="491" spans="1:15" x14ac:dyDescent="0.3">
      <c r="A491" t="s">
        <v>541</v>
      </c>
      <c r="B491" s="1">
        <v>45515</v>
      </c>
      <c r="C491" t="s">
        <v>22</v>
      </c>
      <c r="D491" t="s">
        <v>16</v>
      </c>
      <c r="E491" t="s">
        <v>11</v>
      </c>
      <c r="F491" t="s">
        <v>6</v>
      </c>
      <c r="G491" t="s">
        <v>6</v>
      </c>
      <c r="H491" t="s">
        <v>24</v>
      </c>
      <c r="I491" t="s">
        <v>8</v>
      </c>
      <c r="J491">
        <v>2</v>
      </c>
      <c r="K491">
        <v>4267</v>
      </c>
      <c r="L491">
        <v>8534</v>
      </c>
      <c r="M491">
        <v>5564.56</v>
      </c>
      <c r="N491">
        <v>2969.44</v>
      </c>
      <c r="O491" t="str">
        <f>TEXT(Table1[[#This Row],[Order_Date]],"yyy")</f>
        <v>2024</v>
      </c>
    </row>
    <row r="492" spans="1:15" x14ac:dyDescent="0.3">
      <c r="A492" t="s">
        <v>542</v>
      </c>
      <c r="B492" s="1">
        <v>45859</v>
      </c>
      <c r="C492" t="s">
        <v>10</v>
      </c>
      <c r="D492" t="s">
        <v>31</v>
      </c>
      <c r="E492" t="s">
        <v>11</v>
      </c>
      <c r="F492" t="s">
        <v>6</v>
      </c>
      <c r="G492" t="s">
        <v>6</v>
      </c>
      <c r="H492" t="s">
        <v>7</v>
      </c>
      <c r="I492" t="s">
        <v>8</v>
      </c>
      <c r="J492">
        <v>15</v>
      </c>
      <c r="K492">
        <v>2072</v>
      </c>
      <c r="L492">
        <v>31080</v>
      </c>
      <c r="M492">
        <v>21921.35</v>
      </c>
      <c r="N492">
        <v>9158.65</v>
      </c>
      <c r="O492" t="str">
        <f>TEXT(Table1[[#This Row],[Order_Date]],"yyy")</f>
        <v>2025</v>
      </c>
    </row>
    <row r="493" spans="1:15" x14ac:dyDescent="0.3">
      <c r="A493" t="s">
        <v>543</v>
      </c>
      <c r="B493" s="1">
        <v>45891</v>
      </c>
      <c r="C493" t="s">
        <v>3</v>
      </c>
      <c r="D493" t="s">
        <v>25</v>
      </c>
      <c r="E493" t="s">
        <v>4</v>
      </c>
      <c r="F493" t="s">
        <v>32</v>
      </c>
      <c r="G493" t="s">
        <v>32</v>
      </c>
      <c r="H493" t="s">
        <v>14</v>
      </c>
      <c r="I493" t="s">
        <v>8</v>
      </c>
      <c r="J493">
        <v>16</v>
      </c>
      <c r="K493">
        <v>3351</v>
      </c>
      <c r="L493">
        <v>53616</v>
      </c>
      <c r="M493">
        <v>36425.449999999997</v>
      </c>
      <c r="N493">
        <v>17190.55</v>
      </c>
      <c r="O493" t="str">
        <f>TEXT(Table1[[#This Row],[Order_Date]],"yyy")</f>
        <v>2025</v>
      </c>
    </row>
    <row r="494" spans="1:15" x14ac:dyDescent="0.3">
      <c r="A494" t="s">
        <v>544</v>
      </c>
      <c r="B494" s="1">
        <v>45303</v>
      </c>
      <c r="C494" t="s">
        <v>10</v>
      </c>
      <c r="D494" t="s">
        <v>16</v>
      </c>
      <c r="E494" t="s">
        <v>18</v>
      </c>
      <c r="F494" t="s">
        <v>34</v>
      </c>
      <c r="G494" t="s">
        <v>34</v>
      </c>
      <c r="H494" t="s">
        <v>27</v>
      </c>
      <c r="I494" t="s">
        <v>15</v>
      </c>
      <c r="J494">
        <v>17</v>
      </c>
      <c r="K494">
        <v>1337</v>
      </c>
      <c r="L494">
        <v>22729</v>
      </c>
      <c r="M494">
        <v>13973.49</v>
      </c>
      <c r="N494">
        <v>8755.51</v>
      </c>
      <c r="O494" t="str">
        <f>TEXT(Table1[[#This Row],[Order_Date]],"yyy")</f>
        <v>2024</v>
      </c>
    </row>
    <row r="495" spans="1:15" x14ac:dyDescent="0.3">
      <c r="A495" t="s">
        <v>545</v>
      </c>
      <c r="B495" s="1">
        <v>45820</v>
      </c>
      <c r="C495" t="s">
        <v>22</v>
      </c>
      <c r="D495" t="s">
        <v>9</v>
      </c>
      <c r="E495" t="s">
        <v>11</v>
      </c>
      <c r="F495" t="s">
        <v>19</v>
      </c>
      <c r="G495" t="s">
        <v>19</v>
      </c>
      <c r="H495" t="s">
        <v>33</v>
      </c>
      <c r="I495" t="s">
        <v>15</v>
      </c>
      <c r="J495">
        <v>5</v>
      </c>
      <c r="K495">
        <v>2856</v>
      </c>
      <c r="L495">
        <v>14280</v>
      </c>
      <c r="M495">
        <v>8082.89</v>
      </c>
      <c r="N495">
        <v>6197.11</v>
      </c>
      <c r="O495" t="str">
        <f>TEXT(Table1[[#This Row],[Order_Date]],"yyy")</f>
        <v>2025</v>
      </c>
    </row>
    <row r="496" spans="1:15" x14ac:dyDescent="0.3">
      <c r="A496" t="s">
        <v>546</v>
      </c>
      <c r="B496" s="1">
        <v>45601</v>
      </c>
      <c r="C496" t="s">
        <v>10</v>
      </c>
      <c r="D496" t="s">
        <v>31</v>
      </c>
      <c r="E496" t="s">
        <v>18</v>
      </c>
      <c r="F496" t="s">
        <v>26</v>
      </c>
      <c r="G496" t="s">
        <v>26</v>
      </c>
      <c r="H496" t="s">
        <v>27</v>
      </c>
      <c r="I496" t="s">
        <v>15</v>
      </c>
      <c r="J496">
        <v>17</v>
      </c>
      <c r="K496">
        <v>2651</v>
      </c>
      <c r="L496">
        <v>45067</v>
      </c>
      <c r="M496">
        <v>28460.17</v>
      </c>
      <c r="N496">
        <v>16606.830000000002</v>
      </c>
      <c r="O496" t="str">
        <f>TEXT(Table1[[#This Row],[Order_Date]],"yyy")</f>
        <v>2024</v>
      </c>
    </row>
    <row r="497" spans="1:15" x14ac:dyDescent="0.3">
      <c r="A497" t="s">
        <v>547</v>
      </c>
      <c r="B497" s="1">
        <v>45510</v>
      </c>
      <c r="C497" t="s">
        <v>22</v>
      </c>
      <c r="D497" t="s">
        <v>9</v>
      </c>
      <c r="E497" t="s">
        <v>18</v>
      </c>
      <c r="F497" t="s">
        <v>26</v>
      </c>
      <c r="G497" t="s">
        <v>26</v>
      </c>
      <c r="H497" t="s">
        <v>7</v>
      </c>
      <c r="I497" t="s">
        <v>8</v>
      </c>
      <c r="J497">
        <v>7</v>
      </c>
      <c r="K497">
        <v>1999</v>
      </c>
      <c r="L497">
        <v>13993</v>
      </c>
      <c r="M497">
        <v>11468.19</v>
      </c>
      <c r="N497">
        <v>2524.81</v>
      </c>
      <c r="O497" t="str">
        <f>TEXT(Table1[[#This Row],[Order_Date]],"yyy")</f>
        <v>2024</v>
      </c>
    </row>
    <row r="498" spans="1:15" x14ac:dyDescent="0.3">
      <c r="A498" t="s">
        <v>548</v>
      </c>
      <c r="B498" s="1">
        <v>45659</v>
      </c>
      <c r="C498" t="s">
        <v>10</v>
      </c>
      <c r="D498" t="s">
        <v>9</v>
      </c>
      <c r="E498" t="s">
        <v>18</v>
      </c>
      <c r="F498" t="s">
        <v>29</v>
      </c>
      <c r="G498" t="s">
        <v>29</v>
      </c>
      <c r="H498" t="s">
        <v>27</v>
      </c>
      <c r="I498" t="s">
        <v>8</v>
      </c>
      <c r="J498">
        <v>3</v>
      </c>
      <c r="K498">
        <v>782</v>
      </c>
      <c r="L498">
        <v>2346</v>
      </c>
      <c r="M498">
        <v>1478.7</v>
      </c>
      <c r="N498">
        <v>867.3</v>
      </c>
      <c r="O498" t="str">
        <f>TEXT(Table1[[#This Row],[Order_Date]],"yyy")</f>
        <v>2025</v>
      </c>
    </row>
    <row r="499" spans="1:15" x14ac:dyDescent="0.3">
      <c r="A499" t="s">
        <v>549</v>
      </c>
      <c r="B499" s="1">
        <v>45985</v>
      </c>
      <c r="C499" t="s">
        <v>3</v>
      </c>
      <c r="D499" t="s">
        <v>28</v>
      </c>
      <c r="E499" t="s">
        <v>18</v>
      </c>
      <c r="F499" t="s">
        <v>26</v>
      </c>
      <c r="G499" t="s">
        <v>26</v>
      </c>
      <c r="H499" t="s">
        <v>33</v>
      </c>
      <c r="I499" t="s">
        <v>15</v>
      </c>
      <c r="J499">
        <v>18</v>
      </c>
      <c r="K499">
        <v>1069</v>
      </c>
      <c r="L499">
        <v>19242</v>
      </c>
      <c r="M499">
        <v>16053.23</v>
      </c>
      <c r="N499">
        <v>3188.77</v>
      </c>
      <c r="O499" t="str">
        <f>TEXT(Table1[[#This Row],[Order_Date]],"yyy")</f>
        <v>2025</v>
      </c>
    </row>
    <row r="500" spans="1:15" x14ac:dyDescent="0.3">
      <c r="A500" t="s">
        <v>550</v>
      </c>
      <c r="B500" s="1">
        <v>45636</v>
      </c>
      <c r="C500" t="s">
        <v>17</v>
      </c>
      <c r="D500" t="s">
        <v>25</v>
      </c>
      <c r="E500" t="s">
        <v>4</v>
      </c>
      <c r="F500" t="s">
        <v>23</v>
      </c>
      <c r="G500" t="s">
        <v>23</v>
      </c>
      <c r="H500" t="s">
        <v>33</v>
      </c>
      <c r="I500" t="s">
        <v>8</v>
      </c>
      <c r="J500">
        <v>16</v>
      </c>
      <c r="K500">
        <v>1657</v>
      </c>
      <c r="L500">
        <v>26512</v>
      </c>
      <c r="M500">
        <v>15646.28</v>
      </c>
      <c r="N500">
        <v>10865.72</v>
      </c>
      <c r="O500" t="str">
        <f>TEXT(Table1[[#This Row],[Order_Date]],"yyy")</f>
        <v>2024</v>
      </c>
    </row>
    <row r="501" spans="1:15" x14ac:dyDescent="0.3">
      <c r="A501" t="s">
        <v>551</v>
      </c>
      <c r="B501" s="1">
        <v>46013</v>
      </c>
      <c r="C501" t="s">
        <v>10</v>
      </c>
      <c r="D501" t="s">
        <v>9</v>
      </c>
      <c r="E501" t="s">
        <v>4</v>
      </c>
      <c r="F501" t="s">
        <v>36</v>
      </c>
      <c r="G501" t="s">
        <v>36</v>
      </c>
      <c r="H501" t="s">
        <v>24</v>
      </c>
      <c r="I501" t="s">
        <v>8</v>
      </c>
      <c r="J501">
        <v>15</v>
      </c>
      <c r="K501">
        <v>4119</v>
      </c>
      <c r="L501">
        <v>61785</v>
      </c>
      <c r="M501">
        <v>45613.54</v>
      </c>
      <c r="N501">
        <v>16171.46</v>
      </c>
      <c r="O501" t="str">
        <f>TEXT(Table1[[#This Row],[Order_Date]],"yyy")</f>
        <v>2025</v>
      </c>
    </row>
    <row r="502" spans="1:15" x14ac:dyDescent="0.3">
      <c r="A502" t="s">
        <v>552</v>
      </c>
      <c r="B502" s="1">
        <v>45999</v>
      </c>
      <c r="C502" t="s">
        <v>3</v>
      </c>
      <c r="D502" t="s">
        <v>16</v>
      </c>
      <c r="E502" t="s">
        <v>4</v>
      </c>
      <c r="F502" t="s">
        <v>36</v>
      </c>
      <c r="G502" t="s">
        <v>36</v>
      </c>
      <c r="H502" t="s">
        <v>7</v>
      </c>
      <c r="I502" t="s">
        <v>15</v>
      </c>
      <c r="J502">
        <v>7</v>
      </c>
      <c r="K502">
        <v>1067</v>
      </c>
      <c r="L502">
        <v>7469</v>
      </c>
      <c r="M502">
        <v>5266.51</v>
      </c>
      <c r="N502">
        <v>2202.4899999999998</v>
      </c>
      <c r="O502" t="str">
        <f>TEXT(Table1[[#This Row],[Order_Date]],"yyy")</f>
        <v>2025</v>
      </c>
    </row>
    <row r="503" spans="1:15" x14ac:dyDescent="0.3">
      <c r="A503" t="s">
        <v>553</v>
      </c>
      <c r="B503" s="1">
        <v>45367</v>
      </c>
      <c r="C503" t="s">
        <v>10</v>
      </c>
      <c r="D503" t="s">
        <v>25</v>
      </c>
      <c r="E503" t="s">
        <v>4</v>
      </c>
      <c r="F503" t="s">
        <v>23</v>
      </c>
      <c r="G503" t="s">
        <v>23</v>
      </c>
      <c r="H503" t="s">
        <v>30</v>
      </c>
      <c r="I503" t="s">
        <v>15</v>
      </c>
      <c r="J503">
        <v>8</v>
      </c>
      <c r="K503">
        <v>3079</v>
      </c>
      <c r="L503">
        <v>24632</v>
      </c>
      <c r="M503">
        <v>19616.52</v>
      </c>
      <c r="N503">
        <v>5015.4799999999996</v>
      </c>
      <c r="O503" t="str">
        <f>TEXT(Table1[[#This Row],[Order_Date]],"yyy")</f>
        <v>2024</v>
      </c>
    </row>
    <row r="504" spans="1:15" x14ac:dyDescent="0.3">
      <c r="A504" t="s">
        <v>554</v>
      </c>
      <c r="B504" s="1">
        <v>45573</v>
      </c>
      <c r="C504" t="s">
        <v>22</v>
      </c>
      <c r="D504" t="s">
        <v>9</v>
      </c>
      <c r="E504" t="s">
        <v>18</v>
      </c>
      <c r="F504" t="s">
        <v>26</v>
      </c>
      <c r="G504" t="s">
        <v>26</v>
      </c>
      <c r="H504" t="s">
        <v>35</v>
      </c>
      <c r="I504" t="s">
        <v>8</v>
      </c>
      <c r="J504">
        <v>16</v>
      </c>
      <c r="K504">
        <v>3743</v>
      </c>
      <c r="L504">
        <v>59888</v>
      </c>
      <c r="M504">
        <v>39916.300000000003</v>
      </c>
      <c r="N504">
        <v>19971.7</v>
      </c>
      <c r="O504" t="str">
        <f>TEXT(Table1[[#This Row],[Order_Date]],"yyy")</f>
        <v>2024</v>
      </c>
    </row>
    <row r="505" spans="1:15" x14ac:dyDescent="0.3">
      <c r="A505" t="s">
        <v>555</v>
      </c>
      <c r="B505" s="1">
        <v>45802</v>
      </c>
      <c r="C505" t="s">
        <v>17</v>
      </c>
      <c r="D505" t="s">
        <v>25</v>
      </c>
      <c r="E505" t="s">
        <v>11</v>
      </c>
      <c r="F505" t="s">
        <v>6</v>
      </c>
      <c r="G505" t="s">
        <v>6</v>
      </c>
      <c r="H505" t="s">
        <v>7</v>
      </c>
      <c r="I505" t="s">
        <v>8</v>
      </c>
      <c r="J505">
        <v>7</v>
      </c>
      <c r="K505">
        <v>4346</v>
      </c>
      <c r="L505">
        <v>30422</v>
      </c>
      <c r="M505">
        <v>19887.34</v>
      </c>
      <c r="N505">
        <v>10534.66</v>
      </c>
      <c r="O505" t="str">
        <f>TEXT(Table1[[#This Row],[Order_Date]],"yyy")</f>
        <v>2025</v>
      </c>
    </row>
    <row r="506" spans="1:15" x14ac:dyDescent="0.3">
      <c r="A506" t="s">
        <v>556</v>
      </c>
      <c r="B506" s="1">
        <v>45988</v>
      </c>
      <c r="C506" t="s">
        <v>3</v>
      </c>
      <c r="D506" t="s">
        <v>31</v>
      </c>
      <c r="E506" t="s">
        <v>18</v>
      </c>
      <c r="F506" t="s">
        <v>29</v>
      </c>
      <c r="G506" t="s">
        <v>29</v>
      </c>
      <c r="H506" t="s">
        <v>14</v>
      </c>
      <c r="I506" t="s">
        <v>15</v>
      </c>
      <c r="J506">
        <v>4</v>
      </c>
      <c r="K506">
        <v>4931</v>
      </c>
      <c r="L506">
        <v>19724</v>
      </c>
      <c r="M506">
        <v>11334.11</v>
      </c>
      <c r="N506">
        <v>8389.89</v>
      </c>
      <c r="O506" t="str">
        <f>TEXT(Table1[[#This Row],[Order_Date]],"yyy")</f>
        <v>2025</v>
      </c>
    </row>
    <row r="507" spans="1:15" x14ac:dyDescent="0.3">
      <c r="A507" t="s">
        <v>557</v>
      </c>
      <c r="B507" s="1">
        <v>45996</v>
      </c>
      <c r="C507" t="s">
        <v>22</v>
      </c>
      <c r="D507" t="s">
        <v>31</v>
      </c>
      <c r="E507" t="s">
        <v>18</v>
      </c>
      <c r="F507" t="s">
        <v>26</v>
      </c>
      <c r="G507" t="s">
        <v>26</v>
      </c>
      <c r="H507" t="s">
        <v>27</v>
      </c>
      <c r="I507" t="s">
        <v>8</v>
      </c>
      <c r="J507">
        <v>17</v>
      </c>
      <c r="K507">
        <v>2664</v>
      </c>
      <c r="L507">
        <v>45288</v>
      </c>
      <c r="M507">
        <v>35652.629999999997</v>
      </c>
      <c r="N507">
        <v>9635.3700000000008</v>
      </c>
      <c r="O507" t="str">
        <f>TEXT(Table1[[#This Row],[Order_Date]],"yyy")</f>
        <v>2025</v>
      </c>
    </row>
    <row r="508" spans="1:15" x14ac:dyDescent="0.3">
      <c r="A508" t="s">
        <v>558</v>
      </c>
      <c r="B508" s="1">
        <v>45793</v>
      </c>
      <c r="C508" t="s">
        <v>3</v>
      </c>
      <c r="D508" t="s">
        <v>9</v>
      </c>
      <c r="E508" t="s">
        <v>11</v>
      </c>
      <c r="F508" t="s">
        <v>13</v>
      </c>
      <c r="G508" t="s">
        <v>13</v>
      </c>
      <c r="H508" t="s">
        <v>33</v>
      </c>
      <c r="I508" t="s">
        <v>8</v>
      </c>
      <c r="J508">
        <v>16</v>
      </c>
      <c r="K508">
        <v>1280</v>
      </c>
      <c r="L508">
        <v>20480</v>
      </c>
      <c r="M508">
        <v>13064.44</v>
      </c>
      <c r="N508">
        <v>7415.56</v>
      </c>
      <c r="O508" t="str">
        <f>TEXT(Table1[[#This Row],[Order_Date]],"yyy")</f>
        <v>2025</v>
      </c>
    </row>
    <row r="509" spans="1:15" x14ac:dyDescent="0.3">
      <c r="A509" t="s">
        <v>559</v>
      </c>
      <c r="B509" s="1">
        <v>45526</v>
      </c>
      <c r="C509" t="s">
        <v>10</v>
      </c>
      <c r="D509" t="s">
        <v>28</v>
      </c>
      <c r="E509" t="s">
        <v>18</v>
      </c>
      <c r="F509" t="s">
        <v>29</v>
      </c>
      <c r="G509" t="s">
        <v>29</v>
      </c>
      <c r="H509" t="s">
        <v>7</v>
      </c>
      <c r="I509" t="s">
        <v>8</v>
      </c>
      <c r="J509">
        <v>9</v>
      </c>
      <c r="K509">
        <v>2470</v>
      </c>
      <c r="L509">
        <v>22230</v>
      </c>
      <c r="M509">
        <v>13233.23</v>
      </c>
      <c r="N509">
        <v>8996.77</v>
      </c>
      <c r="O509" t="str">
        <f>TEXT(Table1[[#This Row],[Order_Date]],"yyy")</f>
        <v>2024</v>
      </c>
    </row>
    <row r="510" spans="1:15" x14ac:dyDescent="0.3">
      <c r="A510" t="s">
        <v>560</v>
      </c>
      <c r="B510" s="1">
        <v>45810</v>
      </c>
      <c r="C510" t="s">
        <v>22</v>
      </c>
      <c r="D510" t="s">
        <v>25</v>
      </c>
      <c r="E510" t="s">
        <v>18</v>
      </c>
      <c r="F510" t="s">
        <v>34</v>
      </c>
      <c r="G510" t="s">
        <v>34</v>
      </c>
      <c r="H510" t="s">
        <v>27</v>
      </c>
      <c r="I510" t="s">
        <v>8</v>
      </c>
      <c r="J510">
        <v>10</v>
      </c>
      <c r="K510">
        <v>3099</v>
      </c>
      <c r="L510">
        <v>30990</v>
      </c>
      <c r="M510">
        <v>24542.57</v>
      </c>
      <c r="N510">
        <v>6447.43</v>
      </c>
      <c r="O510" t="str">
        <f>TEXT(Table1[[#This Row],[Order_Date]],"yyy")</f>
        <v>2025</v>
      </c>
    </row>
    <row r="511" spans="1:15" x14ac:dyDescent="0.3">
      <c r="A511" t="s">
        <v>561</v>
      </c>
      <c r="B511" s="1">
        <v>45360</v>
      </c>
      <c r="C511" t="s">
        <v>3</v>
      </c>
      <c r="D511" t="s">
        <v>25</v>
      </c>
      <c r="E511" t="s">
        <v>11</v>
      </c>
      <c r="F511" t="s">
        <v>6</v>
      </c>
      <c r="G511" t="s">
        <v>6</v>
      </c>
      <c r="H511" t="s">
        <v>27</v>
      </c>
      <c r="I511" t="s">
        <v>8</v>
      </c>
      <c r="J511">
        <v>1</v>
      </c>
      <c r="K511">
        <v>2723</v>
      </c>
      <c r="L511">
        <v>2723</v>
      </c>
      <c r="M511">
        <v>1835.16</v>
      </c>
      <c r="N511">
        <v>887.84</v>
      </c>
      <c r="O511" t="str">
        <f>TEXT(Table1[[#This Row],[Order_Date]],"yyy")</f>
        <v>2024</v>
      </c>
    </row>
    <row r="512" spans="1:15" x14ac:dyDescent="0.3">
      <c r="A512" t="s">
        <v>562</v>
      </c>
      <c r="B512" s="1">
        <v>45674</v>
      </c>
      <c r="C512" t="s">
        <v>3</v>
      </c>
      <c r="D512" t="s">
        <v>31</v>
      </c>
      <c r="E512" t="s">
        <v>11</v>
      </c>
      <c r="F512" t="s">
        <v>19</v>
      </c>
      <c r="G512" t="s">
        <v>19</v>
      </c>
      <c r="H512" t="s">
        <v>35</v>
      </c>
      <c r="I512" t="s">
        <v>8</v>
      </c>
      <c r="J512">
        <v>3</v>
      </c>
      <c r="K512">
        <v>1764</v>
      </c>
      <c r="L512">
        <v>5292</v>
      </c>
      <c r="M512">
        <v>3605.52</v>
      </c>
      <c r="N512">
        <v>1686.48</v>
      </c>
      <c r="O512" t="str">
        <f>TEXT(Table1[[#This Row],[Order_Date]],"yyy")</f>
        <v>2025</v>
      </c>
    </row>
    <row r="513" spans="1:15" x14ac:dyDescent="0.3">
      <c r="A513" t="s">
        <v>563</v>
      </c>
      <c r="B513" s="1">
        <v>45645</v>
      </c>
      <c r="C513" t="s">
        <v>17</v>
      </c>
      <c r="D513" t="s">
        <v>31</v>
      </c>
      <c r="E513" t="s">
        <v>4</v>
      </c>
      <c r="F513" t="s">
        <v>36</v>
      </c>
      <c r="G513" t="s">
        <v>36</v>
      </c>
      <c r="H513" t="s">
        <v>30</v>
      </c>
      <c r="I513" t="s">
        <v>8</v>
      </c>
      <c r="J513">
        <v>16</v>
      </c>
      <c r="K513">
        <v>2013</v>
      </c>
      <c r="L513">
        <v>32208</v>
      </c>
      <c r="M513">
        <v>18457.689999999999</v>
      </c>
      <c r="N513">
        <v>13750.31</v>
      </c>
      <c r="O513" t="str">
        <f>TEXT(Table1[[#This Row],[Order_Date]],"yyy")</f>
        <v>2024</v>
      </c>
    </row>
    <row r="514" spans="1:15" x14ac:dyDescent="0.3">
      <c r="A514" t="s">
        <v>564</v>
      </c>
      <c r="B514" s="1">
        <v>45492</v>
      </c>
      <c r="C514" t="s">
        <v>22</v>
      </c>
      <c r="D514" t="s">
        <v>31</v>
      </c>
      <c r="E514" t="s">
        <v>11</v>
      </c>
      <c r="F514" t="s">
        <v>13</v>
      </c>
      <c r="G514" t="s">
        <v>13</v>
      </c>
      <c r="H514" t="s">
        <v>14</v>
      </c>
      <c r="I514" t="s">
        <v>8</v>
      </c>
      <c r="J514">
        <v>4</v>
      </c>
      <c r="K514">
        <v>1600</v>
      </c>
      <c r="L514">
        <v>6400</v>
      </c>
      <c r="M514">
        <v>4444.42</v>
      </c>
      <c r="N514">
        <v>1955.58</v>
      </c>
      <c r="O514" t="str">
        <f>TEXT(Table1[[#This Row],[Order_Date]],"yyy")</f>
        <v>2024</v>
      </c>
    </row>
    <row r="515" spans="1:15" x14ac:dyDescent="0.3">
      <c r="A515" t="s">
        <v>565</v>
      </c>
      <c r="B515" s="1">
        <v>45670</v>
      </c>
      <c r="C515" t="s">
        <v>22</v>
      </c>
      <c r="D515" t="s">
        <v>31</v>
      </c>
      <c r="E515" t="s">
        <v>11</v>
      </c>
      <c r="F515" t="s">
        <v>19</v>
      </c>
      <c r="G515" t="s">
        <v>19</v>
      </c>
      <c r="H515" t="s">
        <v>30</v>
      </c>
      <c r="I515" t="s">
        <v>8</v>
      </c>
      <c r="J515">
        <v>8</v>
      </c>
      <c r="K515">
        <v>301</v>
      </c>
      <c r="L515">
        <v>2408</v>
      </c>
      <c r="M515">
        <v>1385.71</v>
      </c>
      <c r="N515">
        <v>1022.29</v>
      </c>
      <c r="O515" t="str">
        <f>TEXT(Table1[[#This Row],[Order_Date]],"yyy")</f>
        <v>2025</v>
      </c>
    </row>
    <row r="516" spans="1:15" x14ac:dyDescent="0.3">
      <c r="A516" t="s">
        <v>566</v>
      </c>
      <c r="B516" s="1">
        <v>45739</v>
      </c>
      <c r="C516" t="s">
        <v>3</v>
      </c>
      <c r="D516" t="s">
        <v>28</v>
      </c>
      <c r="E516" t="s">
        <v>11</v>
      </c>
      <c r="F516" t="s">
        <v>19</v>
      </c>
      <c r="G516" t="s">
        <v>19</v>
      </c>
      <c r="H516" t="s">
        <v>30</v>
      </c>
      <c r="I516" t="s">
        <v>15</v>
      </c>
      <c r="J516">
        <v>12</v>
      </c>
      <c r="K516">
        <v>1067</v>
      </c>
      <c r="L516">
        <v>12804</v>
      </c>
      <c r="M516">
        <v>7430.31</v>
      </c>
      <c r="N516">
        <v>5373.69</v>
      </c>
      <c r="O516" t="str">
        <f>TEXT(Table1[[#This Row],[Order_Date]],"yyy")</f>
        <v>2025</v>
      </c>
    </row>
    <row r="517" spans="1:15" x14ac:dyDescent="0.3">
      <c r="A517" t="s">
        <v>567</v>
      </c>
      <c r="B517" s="1">
        <v>45735</v>
      </c>
      <c r="C517" t="s">
        <v>3</v>
      </c>
      <c r="D517" t="s">
        <v>31</v>
      </c>
      <c r="E517" t="s">
        <v>4</v>
      </c>
      <c r="F517" t="s">
        <v>36</v>
      </c>
      <c r="G517" t="s">
        <v>36</v>
      </c>
      <c r="H517" t="s">
        <v>7</v>
      </c>
      <c r="I517" t="s">
        <v>15</v>
      </c>
      <c r="J517">
        <v>16</v>
      </c>
      <c r="K517">
        <v>1754</v>
      </c>
      <c r="L517">
        <v>28064</v>
      </c>
      <c r="M517">
        <v>16257.53</v>
      </c>
      <c r="N517">
        <v>11806.47</v>
      </c>
      <c r="O517" t="str">
        <f>TEXT(Table1[[#This Row],[Order_Date]],"yyy")</f>
        <v>2025</v>
      </c>
    </row>
    <row r="518" spans="1:15" x14ac:dyDescent="0.3">
      <c r="A518" t="s">
        <v>568</v>
      </c>
      <c r="B518" s="1">
        <v>45890</v>
      </c>
      <c r="C518" t="s">
        <v>10</v>
      </c>
      <c r="D518" t="s">
        <v>16</v>
      </c>
      <c r="E518" t="s">
        <v>4</v>
      </c>
      <c r="F518" t="s">
        <v>32</v>
      </c>
      <c r="G518" t="s">
        <v>32</v>
      </c>
      <c r="H518" t="s">
        <v>24</v>
      </c>
      <c r="I518" t="s">
        <v>15</v>
      </c>
      <c r="J518">
        <v>1</v>
      </c>
      <c r="K518">
        <v>1994</v>
      </c>
      <c r="L518">
        <v>1994</v>
      </c>
      <c r="M518">
        <v>1246.81</v>
      </c>
      <c r="N518">
        <v>747.19</v>
      </c>
      <c r="O518" t="str">
        <f>TEXT(Table1[[#This Row],[Order_Date]],"yyy")</f>
        <v>2025</v>
      </c>
    </row>
    <row r="519" spans="1:15" x14ac:dyDescent="0.3">
      <c r="A519" t="s">
        <v>569</v>
      </c>
      <c r="B519" s="1">
        <v>45311</v>
      </c>
      <c r="C519" t="s">
        <v>17</v>
      </c>
      <c r="D519" t="s">
        <v>28</v>
      </c>
      <c r="E519" t="s">
        <v>4</v>
      </c>
      <c r="F519" t="s">
        <v>36</v>
      </c>
      <c r="G519" t="s">
        <v>36</v>
      </c>
      <c r="H519" t="s">
        <v>14</v>
      </c>
      <c r="I519" t="s">
        <v>8</v>
      </c>
      <c r="J519">
        <v>8</v>
      </c>
      <c r="K519">
        <v>2245</v>
      </c>
      <c r="L519">
        <v>17960</v>
      </c>
      <c r="M519">
        <v>14930.58</v>
      </c>
      <c r="N519">
        <v>3029.42</v>
      </c>
      <c r="O519" t="str">
        <f>TEXT(Table1[[#This Row],[Order_Date]],"yyy")</f>
        <v>2024</v>
      </c>
    </row>
    <row r="520" spans="1:15" x14ac:dyDescent="0.3">
      <c r="A520" t="s">
        <v>570</v>
      </c>
      <c r="B520" s="1">
        <v>45730</v>
      </c>
      <c r="C520" t="s">
        <v>17</v>
      </c>
      <c r="D520" t="s">
        <v>9</v>
      </c>
      <c r="E520" t="s">
        <v>18</v>
      </c>
      <c r="F520" t="s">
        <v>34</v>
      </c>
      <c r="G520" t="s">
        <v>34</v>
      </c>
      <c r="H520" t="s">
        <v>30</v>
      </c>
      <c r="I520" t="s">
        <v>8</v>
      </c>
      <c r="J520">
        <v>11</v>
      </c>
      <c r="K520">
        <v>2575</v>
      </c>
      <c r="L520">
        <v>28325</v>
      </c>
      <c r="M520">
        <v>17991.27</v>
      </c>
      <c r="N520">
        <v>10333.73</v>
      </c>
      <c r="O520" t="str">
        <f>TEXT(Table1[[#This Row],[Order_Date]],"yyy")</f>
        <v>2025</v>
      </c>
    </row>
    <row r="521" spans="1:15" x14ac:dyDescent="0.3">
      <c r="A521" t="s">
        <v>571</v>
      </c>
      <c r="B521" s="1">
        <v>45363</v>
      </c>
      <c r="C521" t="s">
        <v>17</v>
      </c>
      <c r="D521" t="s">
        <v>16</v>
      </c>
      <c r="E521" t="s">
        <v>18</v>
      </c>
      <c r="F521" t="s">
        <v>29</v>
      </c>
      <c r="G521" t="s">
        <v>29</v>
      </c>
      <c r="H521" t="s">
        <v>33</v>
      </c>
      <c r="I521" t="s">
        <v>15</v>
      </c>
      <c r="J521">
        <v>15</v>
      </c>
      <c r="K521">
        <v>317</v>
      </c>
      <c r="L521">
        <v>4755</v>
      </c>
      <c r="M521">
        <v>2966.52</v>
      </c>
      <c r="N521">
        <v>1788.48</v>
      </c>
      <c r="O521" t="str">
        <f>TEXT(Table1[[#This Row],[Order_Date]],"yyy")</f>
        <v>2024</v>
      </c>
    </row>
    <row r="522" spans="1:15" x14ac:dyDescent="0.3">
      <c r="A522" t="s">
        <v>572</v>
      </c>
      <c r="B522" s="1">
        <v>45936</v>
      </c>
      <c r="C522" t="s">
        <v>22</v>
      </c>
      <c r="D522" t="s">
        <v>16</v>
      </c>
      <c r="E522" t="s">
        <v>11</v>
      </c>
      <c r="F522" t="s">
        <v>13</v>
      </c>
      <c r="G522" t="s">
        <v>13</v>
      </c>
      <c r="H522" t="s">
        <v>14</v>
      </c>
      <c r="I522" t="s">
        <v>8</v>
      </c>
      <c r="J522">
        <v>3</v>
      </c>
      <c r="K522">
        <v>4243</v>
      </c>
      <c r="L522">
        <v>12729</v>
      </c>
      <c r="M522">
        <v>10674.29</v>
      </c>
      <c r="N522">
        <v>2054.71</v>
      </c>
      <c r="O522" t="str">
        <f>TEXT(Table1[[#This Row],[Order_Date]],"yyy")</f>
        <v>2025</v>
      </c>
    </row>
    <row r="523" spans="1:15" x14ac:dyDescent="0.3">
      <c r="A523" t="s">
        <v>573</v>
      </c>
      <c r="B523" s="1">
        <v>45380</v>
      </c>
      <c r="C523" t="s">
        <v>10</v>
      </c>
      <c r="D523" t="s">
        <v>9</v>
      </c>
      <c r="E523" t="s">
        <v>11</v>
      </c>
      <c r="F523" t="s">
        <v>6</v>
      </c>
      <c r="G523" t="s">
        <v>6</v>
      </c>
      <c r="H523" t="s">
        <v>33</v>
      </c>
      <c r="I523" t="s">
        <v>15</v>
      </c>
      <c r="J523">
        <v>13</v>
      </c>
      <c r="K523">
        <v>1507</v>
      </c>
      <c r="L523">
        <v>19591</v>
      </c>
      <c r="M523">
        <v>12127.51</v>
      </c>
      <c r="N523">
        <v>7463.49</v>
      </c>
      <c r="O523" t="str">
        <f>TEXT(Table1[[#This Row],[Order_Date]],"yyy")</f>
        <v>2024</v>
      </c>
    </row>
    <row r="524" spans="1:15" x14ac:dyDescent="0.3">
      <c r="A524" t="s">
        <v>574</v>
      </c>
      <c r="B524" s="1">
        <v>45607</v>
      </c>
      <c r="C524" t="s">
        <v>3</v>
      </c>
      <c r="D524" t="s">
        <v>21</v>
      </c>
      <c r="E524" t="s">
        <v>11</v>
      </c>
      <c r="F524" t="s">
        <v>19</v>
      </c>
      <c r="G524" t="s">
        <v>19</v>
      </c>
      <c r="H524" t="s">
        <v>27</v>
      </c>
      <c r="I524" t="s">
        <v>8</v>
      </c>
      <c r="J524">
        <v>11</v>
      </c>
      <c r="K524">
        <v>2277</v>
      </c>
      <c r="L524">
        <v>25047</v>
      </c>
      <c r="M524">
        <v>14044.36</v>
      </c>
      <c r="N524">
        <v>11002.64</v>
      </c>
      <c r="O524" t="str">
        <f>TEXT(Table1[[#This Row],[Order_Date]],"yyy")</f>
        <v>2024</v>
      </c>
    </row>
    <row r="525" spans="1:15" x14ac:dyDescent="0.3">
      <c r="A525" t="s">
        <v>575</v>
      </c>
      <c r="B525" s="1">
        <v>45714</v>
      </c>
      <c r="C525" t="s">
        <v>22</v>
      </c>
      <c r="D525" t="s">
        <v>25</v>
      </c>
      <c r="E525" t="s">
        <v>11</v>
      </c>
      <c r="F525" t="s">
        <v>6</v>
      </c>
      <c r="G525" t="s">
        <v>6</v>
      </c>
      <c r="H525" t="s">
        <v>33</v>
      </c>
      <c r="I525" t="s">
        <v>8</v>
      </c>
      <c r="J525">
        <v>18</v>
      </c>
      <c r="K525">
        <v>2115</v>
      </c>
      <c r="L525">
        <v>38070</v>
      </c>
      <c r="M525">
        <v>22911.74</v>
      </c>
      <c r="N525">
        <v>15158.26</v>
      </c>
      <c r="O525" t="str">
        <f>TEXT(Table1[[#This Row],[Order_Date]],"yyy")</f>
        <v>2025</v>
      </c>
    </row>
    <row r="526" spans="1:15" x14ac:dyDescent="0.3">
      <c r="A526" t="s">
        <v>576</v>
      </c>
      <c r="B526" s="1">
        <v>45398</v>
      </c>
      <c r="C526" t="s">
        <v>3</v>
      </c>
      <c r="D526" t="s">
        <v>16</v>
      </c>
      <c r="E526" t="s">
        <v>11</v>
      </c>
      <c r="F526" t="s">
        <v>19</v>
      </c>
      <c r="G526" t="s">
        <v>19</v>
      </c>
      <c r="H526" t="s">
        <v>35</v>
      </c>
      <c r="I526" t="s">
        <v>15</v>
      </c>
      <c r="J526">
        <v>8</v>
      </c>
      <c r="K526">
        <v>1007</v>
      </c>
      <c r="L526">
        <v>8056</v>
      </c>
      <c r="M526">
        <v>6223.47</v>
      </c>
      <c r="N526">
        <v>1832.53</v>
      </c>
      <c r="O526" t="str">
        <f>TEXT(Table1[[#This Row],[Order_Date]],"yyy")</f>
        <v>2024</v>
      </c>
    </row>
    <row r="527" spans="1:15" x14ac:dyDescent="0.3">
      <c r="A527" t="s">
        <v>577</v>
      </c>
      <c r="B527" s="1">
        <v>45373</v>
      </c>
      <c r="C527" t="s">
        <v>22</v>
      </c>
      <c r="D527" t="s">
        <v>16</v>
      </c>
      <c r="E527" t="s">
        <v>4</v>
      </c>
      <c r="F527" t="s">
        <v>32</v>
      </c>
      <c r="G527" t="s">
        <v>32</v>
      </c>
      <c r="H527" t="s">
        <v>7</v>
      </c>
      <c r="I527" t="s">
        <v>8</v>
      </c>
      <c r="J527">
        <v>20</v>
      </c>
      <c r="K527">
        <v>3455</v>
      </c>
      <c r="L527">
        <v>69100</v>
      </c>
      <c r="M527">
        <v>44338.9</v>
      </c>
      <c r="N527">
        <v>24761.1</v>
      </c>
      <c r="O527" t="str">
        <f>TEXT(Table1[[#This Row],[Order_Date]],"yyy")</f>
        <v>2024</v>
      </c>
    </row>
    <row r="528" spans="1:15" x14ac:dyDescent="0.3">
      <c r="A528" t="s">
        <v>578</v>
      </c>
      <c r="B528" s="1">
        <v>45306</v>
      </c>
      <c r="C528" t="s">
        <v>17</v>
      </c>
      <c r="D528" t="s">
        <v>31</v>
      </c>
      <c r="E528" t="s">
        <v>11</v>
      </c>
      <c r="F528" t="s">
        <v>19</v>
      </c>
      <c r="G528" t="s">
        <v>19</v>
      </c>
      <c r="H528" t="s">
        <v>14</v>
      </c>
      <c r="I528" t="s">
        <v>15</v>
      </c>
      <c r="J528">
        <v>9</v>
      </c>
      <c r="K528">
        <v>2680</v>
      </c>
      <c r="L528">
        <v>24120</v>
      </c>
      <c r="M528">
        <v>16494.52</v>
      </c>
      <c r="N528">
        <v>7625.48</v>
      </c>
      <c r="O528" t="str">
        <f>TEXT(Table1[[#This Row],[Order_Date]],"yyy")</f>
        <v>2024</v>
      </c>
    </row>
    <row r="529" spans="1:15" x14ac:dyDescent="0.3">
      <c r="A529" t="s">
        <v>579</v>
      </c>
      <c r="B529" s="1">
        <v>45610</v>
      </c>
      <c r="C529" t="s">
        <v>22</v>
      </c>
      <c r="D529" t="s">
        <v>31</v>
      </c>
      <c r="E529" t="s">
        <v>11</v>
      </c>
      <c r="F529" t="s">
        <v>19</v>
      </c>
      <c r="G529" t="s">
        <v>19</v>
      </c>
      <c r="H529" t="s">
        <v>24</v>
      </c>
      <c r="I529" t="s">
        <v>15</v>
      </c>
      <c r="J529">
        <v>1</v>
      </c>
      <c r="K529">
        <v>3696</v>
      </c>
      <c r="L529">
        <v>3696</v>
      </c>
      <c r="M529">
        <v>2070.77</v>
      </c>
      <c r="N529">
        <v>1625.23</v>
      </c>
      <c r="O529" t="str">
        <f>TEXT(Table1[[#This Row],[Order_Date]],"yyy")</f>
        <v>2024</v>
      </c>
    </row>
    <row r="530" spans="1:15" x14ac:dyDescent="0.3">
      <c r="A530" t="s">
        <v>580</v>
      </c>
      <c r="B530" s="1">
        <v>45966</v>
      </c>
      <c r="C530" t="s">
        <v>10</v>
      </c>
      <c r="D530" t="s">
        <v>28</v>
      </c>
      <c r="E530" t="s">
        <v>4</v>
      </c>
      <c r="F530" t="s">
        <v>23</v>
      </c>
      <c r="G530" t="s">
        <v>23</v>
      </c>
      <c r="H530" t="s">
        <v>33</v>
      </c>
      <c r="I530" t="s">
        <v>15</v>
      </c>
      <c r="J530">
        <v>11</v>
      </c>
      <c r="K530">
        <v>1576</v>
      </c>
      <c r="L530">
        <v>17336</v>
      </c>
      <c r="M530">
        <v>11162.97</v>
      </c>
      <c r="N530">
        <v>6173.03</v>
      </c>
      <c r="O530" t="str">
        <f>TEXT(Table1[[#This Row],[Order_Date]],"yyy")</f>
        <v>2025</v>
      </c>
    </row>
    <row r="531" spans="1:15" x14ac:dyDescent="0.3">
      <c r="A531" t="s">
        <v>581</v>
      </c>
      <c r="B531" s="1">
        <v>45886</v>
      </c>
      <c r="C531" t="s">
        <v>10</v>
      </c>
      <c r="D531" t="s">
        <v>28</v>
      </c>
      <c r="E531" t="s">
        <v>4</v>
      </c>
      <c r="F531" t="s">
        <v>23</v>
      </c>
      <c r="G531" t="s">
        <v>23</v>
      </c>
      <c r="H531" t="s">
        <v>7</v>
      </c>
      <c r="I531" t="s">
        <v>8</v>
      </c>
      <c r="J531">
        <v>5</v>
      </c>
      <c r="K531">
        <v>3962</v>
      </c>
      <c r="L531">
        <v>19810</v>
      </c>
      <c r="M531">
        <v>14662.68</v>
      </c>
      <c r="N531">
        <v>5147.32</v>
      </c>
      <c r="O531" t="str">
        <f>TEXT(Table1[[#This Row],[Order_Date]],"yyy")</f>
        <v>2025</v>
      </c>
    </row>
    <row r="532" spans="1:15" x14ac:dyDescent="0.3">
      <c r="A532" t="s">
        <v>582</v>
      </c>
      <c r="B532" s="1">
        <v>45646</v>
      </c>
      <c r="C532" t="s">
        <v>10</v>
      </c>
      <c r="D532" t="s">
        <v>25</v>
      </c>
      <c r="E532" t="s">
        <v>11</v>
      </c>
      <c r="F532" t="s">
        <v>13</v>
      </c>
      <c r="G532" t="s">
        <v>13</v>
      </c>
      <c r="H532" t="s">
        <v>27</v>
      </c>
      <c r="I532" t="s">
        <v>8</v>
      </c>
      <c r="J532">
        <v>4</v>
      </c>
      <c r="K532">
        <v>4871</v>
      </c>
      <c r="L532">
        <v>19484</v>
      </c>
      <c r="M532">
        <v>11752.02</v>
      </c>
      <c r="N532">
        <v>7731.98</v>
      </c>
      <c r="O532" t="str">
        <f>TEXT(Table1[[#This Row],[Order_Date]],"yyy")</f>
        <v>2024</v>
      </c>
    </row>
    <row r="533" spans="1:15" x14ac:dyDescent="0.3">
      <c r="A533" t="s">
        <v>583</v>
      </c>
      <c r="B533" s="1">
        <v>45539</v>
      </c>
      <c r="C533" t="s">
        <v>17</v>
      </c>
      <c r="D533" t="s">
        <v>28</v>
      </c>
      <c r="E533" t="s">
        <v>11</v>
      </c>
      <c r="F533" t="s">
        <v>6</v>
      </c>
      <c r="G533" t="s">
        <v>6</v>
      </c>
      <c r="H533" t="s">
        <v>35</v>
      </c>
      <c r="I533" t="s">
        <v>8</v>
      </c>
      <c r="J533">
        <v>20</v>
      </c>
      <c r="K533">
        <v>227</v>
      </c>
      <c r="L533">
        <v>4540</v>
      </c>
      <c r="M533">
        <v>3729.17</v>
      </c>
      <c r="N533">
        <v>810.83</v>
      </c>
      <c r="O533" t="str">
        <f>TEXT(Table1[[#This Row],[Order_Date]],"yyy")</f>
        <v>2024</v>
      </c>
    </row>
    <row r="534" spans="1:15" x14ac:dyDescent="0.3">
      <c r="A534" t="s">
        <v>584</v>
      </c>
      <c r="B534" s="1">
        <v>45616</v>
      </c>
      <c r="C534" t="s">
        <v>22</v>
      </c>
      <c r="D534" t="s">
        <v>16</v>
      </c>
      <c r="E534" t="s">
        <v>4</v>
      </c>
      <c r="F534" t="s">
        <v>36</v>
      </c>
      <c r="G534" t="s">
        <v>36</v>
      </c>
      <c r="H534" t="s">
        <v>27</v>
      </c>
      <c r="I534" t="s">
        <v>15</v>
      </c>
      <c r="J534">
        <v>5</v>
      </c>
      <c r="K534">
        <v>907</v>
      </c>
      <c r="L534">
        <v>4535</v>
      </c>
      <c r="M534">
        <v>3760.39</v>
      </c>
      <c r="N534">
        <v>774.61</v>
      </c>
      <c r="O534" t="str">
        <f>TEXT(Table1[[#This Row],[Order_Date]],"yyy")</f>
        <v>2024</v>
      </c>
    </row>
    <row r="535" spans="1:15" x14ac:dyDescent="0.3">
      <c r="A535" t="s">
        <v>585</v>
      </c>
      <c r="B535" s="1">
        <v>45949</v>
      </c>
      <c r="C535" t="s">
        <v>10</v>
      </c>
      <c r="D535" t="s">
        <v>31</v>
      </c>
      <c r="E535" t="s">
        <v>11</v>
      </c>
      <c r="F535" t="s">
        <v>13</v>
      </c>
      <c r="G535" t="s">
        <v>13</v>
      </c>
      <c r="H535" t="s">
        <v>30</v>
      </c>
      <c r="I535" t="s">
        <v>15</v>
      </c>
      <c r="J535">
        <v>20</v>
      </c>
      <c r="K535">
        <v>2817</v>
      </c>
      <c r="L535">
        <v>56340</v>
      </c>
      <c r="M535">
        <v>36219.949999999997</v>
      </c>
      <c r="N535">
        <v>20120.05</v>
      </c>
      <c r="O535" t="str">
        <f>TEXT(Table1[[#This Row],[Order_Date]],"yyy")</f>
        <v>2025</v>
      </c>
    </row>
    <row r="536" spans="1:15" x14ac:dyDescent="0.3">
      <c r="A536" t="s">
        <v>586</v>
      </c>
      <c r="B536" s="1">
        <v>45470</v>
      </c>
      <c r="C536" t="s">
        <v>3</v>
      </c>
      <c r="D536" t="s">
        <v>16</v>
      </c>
      <c r="E536" t="s">
        <v>4</v>
      </c>
      <c r="F536" t="s">
        <v>23</v>
      </c>
      <c r="G536" t="s">
        <v>23</v>
      </c>
      <c r="H536" t="s">
        <v>33</v>
      </c>
      <c r="I536" t="s">
        <v>8</v>
      </c>
      <c r="J536">
        <v>12</v>
      </c>
      <c r="K536">
        <v>4375</v>
      </c>
      <c r="L536">
        <v>52500</v>
      </c>
      <c r="M536">
        <v>30896.5</v>
      </c>
      <c r="N536">
        <v>21603.5</v>
      </c>
      <c r="O536" t="str">
        <f>TEXT(Table1[[#This Row],[Order_Date]],"yyy")</f>
        <v>2024</v>
      </c>
    </row>
    <row r="537" spans="1:15" x14ac:dyDescent="0.3">
      <c r="A537" t="s">
        <v>587</v>
      </c>
      <c r="B537" s="1">
        <v>45980</v>
      </c>
      <c r="C537" t="s">
        <v>17</v>
      </c>
      <c r="D537" t="s">
        <v>25</v>
      </c>
      <c r="E537" t="s">
        <v>18</v>
      </c>
      <c r="F537" t="s">
        <v>34</v>
      </c>
      <c r="G537" t="s">
        <v>34</v>
      </c>
      <c r="H537" t="s">
        <v>7</v>
      </c>
      <c r="I537" t="s">
        <v>8</v>
      </c>
      <c r="J537">
        <v>3</v>
      </c>
      <c r="K537">
        <v>2537</v>
      </c>
      <c r="L537">
        <v>7611</v>
      </c>
      <c r="M537">
        <v>4817.8999999999996</v>
      </c>
      <c r="N537">
        <v>2793.1</v>
      </c>
      <c r="O537" t="str">
        <f>TEXT(Table1[[#This Row],[Order_Date]],"yyy")</f>
        <v>2025</v>
      </c>
    </row>
    <row r="538" spans="1:15" x14ac:dyDescent="0.3">
      <c r="A538" t="s">
        <v>588</v>
      </c>
      <c r="B538" s="1">
        <v>45533</v>
      </c>
      <c r="C538" t="s">
        <v>10</v>
      </c>
      <c r="D538" t="s">
        <v>28</v>
      </c>
      <c r="E538" t="s">
        <v>11</v>
      </c>
      <c r="F538" t="s">
        <v>6</v>
      </c>
      <c r="G538" t="s">
        <v>6</v>
      </c>
      <c r="H538" t="s">
        <v>14</v>
      </c>
      <c r="I538" t="s">
        <v>8</v>
      </c>
      <c r="J538">
        <v>4</v>
      </c>
      <c r="K538">
        <v>2123</v>
      </c>
      <c r="L538">
        <v>8492</v>
      </c>
      <c r="M538">
        <v>4955.68</v>
      </c>
      <c r="N538">
        <v>3536.32</v>
      </c>
      <c r="O538" t="str">
        <f>TEXT(Table1[[#This Row],[Order_Date]],"yyy")</f>
        <v>2024</v>
      </c>
    </row>
    <row r="539" spans="1:15" x14ac:dyDescent="0.3">
      <c r="A539" t="s">
        <v>589</v>
      </c>
      <c r="B539" s="1">
        <v>45505</v>
      </c>
      <c r="C539" t="s">
        <v>22</v>
      </c>
      <c r="D539" t="s">
        <v>28</v>
      </c>
      <c r="E539" t="s">
        <v>4</v>
      </c>
      <c r="F539" t="s">
        <v>23</v>
      </c>
      <c r="G539" t="s">
        <v>23</v>
      </c>
      <c r="H539" t="s">
        <v>27</v>
      </c>
      <c r="I539" t="s">
        <v>15</v>
      </c>
      <c r="J539">
        <v>7</v>
      </c>
      <c r="K539">
        <v>1633</v>
      </c>
      <c r="L539">
        <v>11431</v>
      </c>
      <c r="M539">
        <v>8469.82</v>
      </c>
      <c r="N539">
        <v>2961.18</v>
      </c>
      <c r="O539" t="str">
        <f>TEXT(Table1[[#This Row],[Order_Date]],"yyy")</f>
        <v>2024</v>
      </c>
    </row>
    <row r="540" spans="1:15" x14ac:dyDescent="0.3">
      <c r="A540" t="s">
        <v>590</v>
      </c>
      <c r="B540" s="1">
        <v>45377</v>
      </c>
      <c r="C540" t="s">
        <v>3</v>
      </c>
      <c r="D540" t="s">
        <v>28</v>
      </c>
      <c r="E540" t="s">
        <v>4</v>
      </c>
      <c r="F540" t="s">
        <v>36</v>
      </c>
      <c r="G540" t="s">
        <v>36</v>
      </c>
      <c r="H540" t="s">
        <v>14</v>
      </c>
      <c r="I540" t="s">
        <v>8</v>
      </c>
      <c r="J540">
        <v>11</v>
      </c>
      <c r="K540">
        <v>2941</v>
      </c>
      <c r="L540">
        <v>32351</v>
      </c>
      <c r="M540">
        <v>25221.61</v>
      </c>
      <c r="N540">
        <v>7129.39</v>
      </c>
      <c r="O540" t="str">
        <f>TEXT(Table1[[#This Row],[Order_Date]],"yyy")</f>
        <v>2024</v>
      </c>
    </row>
    <row r="541" spans="1:15" x14ac:dyDescent="0.3">
      <c r="A541" t="s">
        <v>591</v>
      </c>
      <c r="B541" s="1">
        <v>45950</v>
      </c>
      <c r="C541" t="s">
        <v>17</v>
      </c>
      <c r="D541" t="s">
        <v>31</v>
      </c>
      <c r="E541" t="s">
        <v>11</v>
      </c>
      <c r="F541" t="s">
        <v>19</v>
      </c>
      <c r="G541" t="s">
        <v>19</v>
      </c>
      <c r="H541" t="s">
        <v>14</v>
      </c>
      <c r="I541" t="s">
        <v>15</v>
      </c>
      <c r="J541">
        <v>17</v>
      </c>
      <c r="K541">
        <v>2995</v>
      </c>
      <c r="L541">
        <v>50915</v>
      </c>
      <c r="M541">
        <v>29895.27</v>
      </c>
      <c r="N541">
        <v>21019.73</v>
      </c>
      <c r="O541" t="str">
        <f>TEXT(Table1[[#This Row],[Order_Date]],"yyy")</f>
        <v>2025</v>
      </c>
    </row>
    <row r="542" spans="1:15" x14ac:dyDescent="0.3">
      <c r="A542" t="s">
        <v>592</v>
      </c>
      <c r="B542" s="1">
        <v>45943</v>
      </c>
      <c r="C542" t="s">
        <v>3</v>
      </c>
      <c r="D542" t="s">
        <v>25</v>
      </c>
      <c r="E542" t="s">
        <v>4</v>
      </c>
      <c r="F542" t="s">
        <v>32</v>
      </c>
      <c r="G542" t="s">
        <v>32</v>
      </c>
      <c r="H542" t="s">
        <v>30</v>
      </c>
      <c r="I542" t="s">
        <v>15</v>
      </c>
      <c r="J542">
        <v>18</v>
      </c>
      <c r="K542">
        <v>811</v>
      </c>
      <c r="L542">
        <v>14598</v>
      </c>
      <c r="M542">
        <v>12238.07</v>
      </c>
      <c r="N542">
        <v>2359.9299999999998</v>
      </c>
      <c r="O542" t="str">
        <f>TEXT(Table1[[#This Row],[Order_Date]],"yyy")</f>
        <v>2025</v>
      </c>
    </row>
    <row r="543" spans="1:15" x14ac:dyDescent="0.3">
      <c r="A543" t="s">
        <v>593</v>
      </c>
      <c r="B543" s="1">
        <v>45898</v>
      </c>
      <c r="C543" t="s">
        <v>17</v>
      </c>
      <c r="D543" t="s">
        <v>21</v>
      </c>
      <c r="E543" t="s">
        <v>18</v>
      </c>
      <c r="F543" t="s">
        <v>29</v>
      </c>
      <c r="G543" t="s">
        <v>29</v>
      </c>
      <c r="H543" t="s">
        <v>7</v>
      </c>
      <c r="I543" t="s">
        <v>15</v>
      </c>
      <c r="J543">
        <v>9</v>
      </c>
      <c r="K543">
        <v>2115</v>
      </c>
      <c r="L543">
        <v>19035</v>
      </c>
      <c r="M543">
        <v>16158.87</v>
      </c>
      <c r="N543">
        <v>2876.13</v>
      </c>
      <c r="O543" t="str">
        <f>TEXT(Table1[[#This Row],[Order_Date]],"yyy")</f>
        <v>2025</v>
      </c>
    </row>
    <row r="544" spans="1:15" x14ac:dyDescent="0.3">
      <c r="A544" t="s">
        <v>594</v>
      </c>
      <c r="B544" s="1">
        <v>45752</v>
      </c>
      <c r="C544" t="s">
        <v>22</v>
      </c>
      <c r="D544" t="s">
        <v>28</v>
      </c>
      <c r="E544" t="s">
        <v>18</v>
      </c>
      <c r="F544" t="s">
        <v>34</v>
      </c>
      <c r="G544" t="s">
        <v>34</v>
      </c>
      <c r="H544" t="s">
        <v>33</v>
      </c>
      <c r="I544" t="s">
        <v>15</v>
      </c>
      <c r="J544">
        <v>8</v>
      </c>
      <c r="K544">
        <v>3460</v>
      </c>
      <c r="L544">
        <v>27680</v>
      </c>
      <c r="M544">
        <v>20565.189999999999</v>
      </c>
      <c r="N544">
        <v>7114.81</v>
      </c>
      <c r="O544" t="str">
        <f>TEXT(Table1[[#This Row],[Order_Date]],"yyy")</f>
        <v>2025</v>
      </c>
    </row>
    <row r="545" spans="1:15" x14ac:dyDescent="0.3">
      <c r="A545" t="s">
        <v>595</v>
      </c>
      <c r="B545" s="1">
        <v>45875</v>
      </c>
      <c r="C545" t="s">
        <v>10</v>
      </c>
      <c r="D545" t="s">
        <v>21</v>
      </c>
      <c r="E545" t="s">
        <v>11</v>
      </c>
      <c r="F545" t="s">
        <v>6</v>
      </c>
      <c r="G545" t="s">
        <v>6</v>
      </c>
      <c r="H545" t="s">
        <v>30</v>
      </c>
      <c r="I545" t="s">
        <v>8</v>
      </c>
      <c r="J545">
        <v>10</v>
      </c>
      <c r="K545">
        <v>500</v>
      </c>
      <c r="L545">
        <v>5000</v>
      </c>
      <c r="M545">
        <v>4015.02</v>
      </c>
      <c r="N545">
        <v>984.98</v>
      </c>
      <c r="O545" t="str">
        <f>TEXT(Table1[[#This Row],[Order_Date]],"yyy")</f>
        <v>2025</v>
      </c>
    </row>
    <row r="546" spans="1:15" x14ac:dyDescent="0.3">
      <c r="A546" t="s">
        <v>596</v>
      </c>
      <c r="B546" s="1">
        <v>45968</v>
      </c>
      <c r="C546" t="s">
        <v>22</v>
      </c>
      <c r="D546" t="s">
        <v>25</v>
      </c>
      <c r="E546" t="s">
        <v>18</v>
      </c>
      <c r="F546" t="s">
        <v>29</v>
      </c>
      <c r="G546" t="s">
        <v>29</v>
      </c>
      <c r="H546" t="s">
        <v>14</v>
      </c>
      <c r="I546" t="s">
        <v>15</v>
      </c>
      <c r="J546">
        <v>10</v>
      </c>
      <c r="K546">
        <v>2676</v>
      </c>
      <c r="L546">
        <v>26760</v>
      </c>
      <c r="M546">
        <v>19471.41</v>
      </c>
      <c r="N546">
        <v>7288.59</v>
      </c>
      <c r="O546" t="str">
        <f>TEXT(Table1[[#This Row],[Order_Date]],"yyy")</f>
        <v>2025</v>
      </c>
    </row>
    <row r="547" spans="1:15" x14ac:dyDescent="0.3">
      <c r="A547" t="s">
        <v>597</v>
      </c>
      <c r="B547" s="1">
        <v>45513</v>
      </c>
      <c r="C547" t="s">
        <v>17</v>
      </c>
      <c r="D547" t="s">
        <v>31</v>
      </c>
      <c r="E547" t="s">
        <v>11</v>
      </c>
      <c r="F547" t="s">
        <v>19</v>
      </c>
      <c r="G547" t="s">
        <v>19</v>
      </c>
      <c r="H547" t="s">
        <v>20</v>
      </c>
      <c r="I547" t="s">
        <v>8</v>
      </c>
      <c r="J547">
        <v>13</v>
      </c>
      <c r="K547">
        <v>4381</v>
      </c>
      <c r="L547">
        <v>56953</v>
      </c>
      <c r="M547">
        <v>40422.160000000003</v>
      </c>
      <c r="N547">
        <v>16530.84</v>
      </c>
      <c r="O547" t="str">
        <f>TEXT(Table1[[#This Row],[Order_Date]],"yyy")</f>
        <v>2024</v>
      </c>
    </row>
    <row r="548" spans="1:15" x14ac:dyDescent="0.3">
      <c r="A548" t="s">
        <v>598</v>
      </c>
      <c r="B548" s="1">
        <v>45879</v>
      </c>
      <c r="C548" t="s">
        <v>3</v>
      </c>
      <c r="D548" t="s">
        <v>21</v>
      </c>
      <c r="E548" t="s">
        <v>4</v>
      </c>
      <c r="F548" t="s">
        <v>23</v>
      </c>
      <c r="G548" t="s">
        <v>23</v>
      </c>
      <c r="H548" t="s">
        <v>7</v>
      </c>
      <c r="I548" t="s">
        <v>8</v>
      </c>
      <c r="J548">
        <v>7</v>
      </c>
      <c r="K548">
        <v>4071</v>
      </c>
      <c r="L548">
        <v>28497</v>
      </c>
      <c r="M548">
        <v>23628.36</v>
      </c>
      <c r="N548">
        <v>4868.6400000000003</v>
      </c>
      <c r="O548" t="str">
        <f>TEXT(Table1[[#This Row],[Order_Date]],"yyy")</f>
        <v>2025</v>
      </c>
    </row>
    <row r="549" spans="1:15" x14ac:dyDescent="0.3">
      <c r="A549" t="s">
        <v>599</v>
      </c>
      <c r="B549" s="1">
        <v>45508</v>
      </c>
      <c r="C549" t="s">
        <v>17</v>
      </c>
      <c r="D549" t="s">
        <v>21</v>
      </c>
      <c r="E549" t="s">
        <v>11</v>
      </c>
      <c r="F549" t="s">
        <v>6</v>
      </c>
      <c r="G549" t="s">
        <v>6</v>
      </c>
      <c r="H549" t="s">
        <v>24</v>
      </c>
      <c r="I549" t="s">
        <v>8</v>
      </c>
      <c r="J549">
        <v>4</v>
      </c>
      <c r="K549">
        <v>1121</v>
      </c>
      <c r="L549">
        <v>4484</v>
      </c>
      <c r="M549">
        <v>3645.65</v>
      </c>
      <c r="N549">
        <v>838.35</v>
      </c>
      <c r="O549" t="str">
        <f>TEXT(Table1[[#This Row],[Order_Date]],"yyy")</f>
        <v>2024</v>
      </c>
    </row>
    <row r="550" spans="1:15" x14ac:dyDescent="0.3">
      <c r="A550" t="s">
        <v>600</v>
      </c>
      <c r="B550" s="1">
        <v>45802</v>
      </c>
      <c r="C550" t="s">
        <v>17</v>
      </c>
      <c r="D550" t="s">
        <v>9</v>
      </c>
      <c r="E550" t="s">
        <v>4</v>
      </c>
      <c r="F550" t="s">
        <v>36</v>
      </c>
      <c r="G550" t="s">
        <v>36</v>
      </c>
      <c r="H550" t="s">
        <v>20</v>
      </c>
      <c r="I550" t="s">
        <v>15</v>
      </c>
      <c r="J550">
        <v>5</v>
      </c>
      <c r="K550">
        <v>4501</v>
      </c>
      <c r="L550">
        <v>22505</v>
      </c>
      <c r="M550">
        <v>13396.43</v>
      </c>
      <c r="N550">
        <v>9108.57</v>
      </c>
      <c r="O550" t="str">
        <f>TEXT(Table1[[#This Row],[Order_Date]],"yyy")</f>
        <v>2025</v>
      </c>
    </row>
    <row r="551" spans="1:15" x14ac:dyDescent="0.3">
      <c r="A551" t="s">
        <v>601</v>
      </c>
      <c r="B551" s="1">
        <v>45711</v>
      </c>
      <c r="C551" t="s">
        <v>17</v>
      </c>
      <c r="D551" t="s">
        <v>28</v>
      </c>
      <c r="E551" t="s">
        <v>4</v>
      </c>
      <c r="F551" t="s">
        <v>32</v>
      </c>
      <c r="G551" t="s">
        <v>32</v>
      </c>
      <c r="H551" t="s">
        <v>7</v>
      </c>
      <c r="I551" t="s">
        <v>8</v>
      </c>
      <c r="J551">
        <v>8</v>
      </c>
      <c r="K551">
        <v>356</v>
      </c>
      <c r="L551">
        <v>2848</v>
      </c>
      <c r="M551">
        <v>1663.85</v>
      </c>
      <c r="N551">
        <v>1184.1500000000001</v>
      </c>
      <c r="O551" t="str">
        <f>TEXT(Table1[[#This Row],[Order_Date]],"yyy")</f>
        <v>2025</v>
      </c>
    </row>
    <row r="552" spans="1:15" x14ac:dyDescent="0.3">
      <c r="A552" t="s">
        <v>602</v>
      </c>
      <c r="B552" s="1">
        <v>45700</v>
      </c>
      <c r="C552" t="s">
        <v>17</v>
      </c>
      <c r="D552" t="s">
        <v>21</v>
      </c>
      <c r="E552" t="s">
        <v>4</v>
      </c>
      <c r="F552" t="s">
        <v>23</v>
      </c>
      <c r="G552" t="s">
        <v>23</v>
      </c>
      <c r="H552" t="s">
        <v>30</v>
      </c>
      <c r="I552" t="s">
        <v>8</v>
      </c>
      <c r="J552">
        <v>2</v>
      </c>
      <c r="K552">
        <v>2990</v>
      </c>
      <c r="L552">
        <v>5980</v>
      </c>
      <c r="M552">
        <v>4493.3500000000004</v>
      </c>
      <c r="N552">
        <v>1486.65</v>
      </c>
      <c r="O552" t="str">
        <f>TEXT(Table1[[#This Row],[Order_Date]],"yyy")</f>
        <v>2025</v>
      </c>
    </row>
    <row r="553" spans="1:15" x14ac:dyDescent="0.3">
      <c r="A553" t="s">
        <v>603</v>
      </c>
      <c r="B553" s="1">
        <v>45575</v>
      </c>
      <c r="C553" t="s">
        <v>3</v>
      </c>
      <c r="D553" t="s">
        <v>16</v>
      </c>
      <c r="E553" t="s">
        <v>4</v>
      </c>
      <c r="F553" t="s">
        <v>23</v>
      </c>
      <c r="G553" t="s">
        <v>23</v>
      </c>
      <c r="H553" t="s">
        <v>7</v>
      </c>
      <c r="I553" t="s">
        <v>8</v>
      </c>
      <c r="J553">
        <v>19</v>
      </c>
      <c r="K553">
        <v>825</v>
      </c>
      <c r="L553">
        <v>15675</v>
      </c>
      <c r="M553">
        <v>11518.21</v>
      </c>
      <c r="N553">
        <v>4156.79</v>
      </c>
      <c r="O553" t="str">
        <f>TEXT(Table1[[#This Row],[Order_Date]],"yyy")</f>
        <v>2024</v>
      </c>
    </row>
    <row r="554" spans="1:15" x14ac:dyDescent="0.3">
      <c r="A554" t="s">
        <v>604</v>
      </c>
      <c r="B554" s="1">
        <v>45913</v>
      </c>
      <c r="C554" t="s">
        <v>3</v>
      </c>
      <c r="D554" t="s">
        <v>21</v>
      </c>
      <c r="E554" t="s">
        <v>18</v>
      </c>
      <c r="F554" t="s">
        <v>26</v>
      </c>
      <c r="G554" t="s">
        <v>26</v>
      </c>
      <c r="H554" t="s">
        <v>27</v>
      </c>
      <c r="I554" t="s">
        <v>15</v>
      </c>
      <c r="J554">
        <v>5</v>
      </c>
      <c r="K554">
        <v>1507</v>
      </c>
      <c r="L554">
        <v>7535</v>
      </c>
      <c r="M554">
        <v>6393.58</v>
      </c>
      <c r="N554">
        <v>1141.42</v>
      </c>
      <c r="O554" t="str">
        <f>TEXT(Table1[[#This Row],[Order_Date]],"yyy")</f>
        <v>2025</v>
      </c>
    </row>
    <row r="555" spans="1:15" x14ac:dyDescent="0.3">
      <c r="A555" t="s">
        <v>605</v>
      </c>
      <c r="B555" s="1">
        <v>45705</v>
      </c>
      <c r="C555" t="s">
        <v>10</v>
      </c>
      <c r="D555" t="s">
        <v>28</v>
      </c>
      <c r="E555" t="s">
        <v>11</v>
      </c>
      <c r="F555" t="s">
        <v>19</v>
      </c>
      <c r="G555" t="s">
        <v>19</v>
      </c>
      <c r="H555" t="s">
        <v>7</v>
      </c>
      <c r="I555" t="s">
        <v>15</v>
      </c>
      <c r="J555">
        <v>9</v>
      </c>
      <c r="K555">
        <v>2927</v>
      </c>
      <c r="L555">
        <v>26343</v>
      </c>
      <c r="M555">
        <v>19639.97</v>
      </c>
      <c r="N555">
        <v>6703.03</v>
      </c>
      <c r="O555" t="str">
        <f>TEXT(Table1[[#This Row],[Order_Date]],"yyy")</f>
        <v>2025</v>
      </c>
    </row>
    <row r="556" spans="1:15" x14ac:dyDescent="0.3">
      <c r="A556" t="s">
        <v>606</v>
      </c>
      <c r="B556" s="1">
        <v>45493</v>
      </c>
      <c r="C556" t="s">
        <v>10</v>
      </c>
      <c r="D556" t="s">
        <v>28</v>
      </c>
      <c r="E556" t="s">
        <v>11</v>
      </c>
      <c r="F556" t="s">
        <v>19</v>
      </c>
      <c r="G556" t="s">
        <v>19</v>
      </c>
      <c r="H556" t="s">
        <v>35</v>
      </c>
      <c r="I556" t="s">
        <v>8</v>
      </c>
      <c r="J556">
        <v>11</v>
      </c>
      <c r="K556">
        <v>1560</v>
      </c>
      <c r="L556">
        <v>17160</v>
      </c>
      <c r="M556">
        <v>9603.7000000000007</v>
      </c>
      <c r="N556">
        <v>7556.3</v>
      </c>
      <c r="O556" t="str">
        <f>TEXT(Table1[[#This Row],[Order_Date]],"yyy")</f>
        <v>2024</v>
      </c>
    </row>
    <row r="557" spans="1:15" x14ac:dyDescent="0.3">
      <c r="A557" t="s">
        <v>607</v>
      </c>
      <c r="B557" s="1">
        <v>45702</v>
      </c>
      <c r="C557" t="s">
        <v>22</v>
      </c>
      <c r="D557" t="s">
        <v>31</v>
      </c>
      <c r="E557" t="s">
        <v>4</v>
      </c>
      <c r="F557" t="s">
        <v>23</v>
      </c>
      <c r="G557" t="s">
        <v>23</v>
      </c>
      <c r="H557" t="s">
        <v>14</v>
      </c>
      <c r="I557" t="s">
        <v>8</v>
      </c>
      <c r="J557">
        <v>17</v>
      </c>
      <c r="K557">
        <v>4784</v>
      </c>
      <c r="L557">
        <v>81328</v>
      </c>
      <c r="M557">
        <v>46609.47</v>
      </c>
      <c r="N557">
        <v>34718.53</v>
      </c>
      <c r="O557" t="str">
        <f>TEXT(Table1[[#This Row],[Order_Date]],"yyy")</f>
        <v>2025</v>
      </c>
    </row>
    <row r="558" spans="1:15" x14ac:dyDescent="0.3">
      <c r="A558" t="s">
        <v>608</v>
      </c>
      <c r="B558" s="1">
        <v>45813</v>
      </c>
      <c r="C558" t="s">
        <v>17</v>
      </c>
      <c r="D558" t="s">
        <v>28</v>
      </c>
      <c r="E558" t="s">
        <v>18</v>
      </c>
      <c r="F558" t="s">
        <v>29</v>
      </c>
      <c r="G558" t="s">
        <v>29</v>
      </c>
      <c r="H558" t="s">
        <v>7</v>
      </c>
      <c r="I558" t="s">
        <v>15</v>
      </c>
      <c r="J558">
        <v>6</v>
      </c>
      <c r="K558">
        <v>4678</v>
      </c>
      <c r="L558">
        <v>28068</v>
      </c>
      <c r="M558">
        <v>18490.88</v>
      </c>
      <c r="N558">
        <v>9577.1200000000008</v>
      </c>
      <c r="O558" t="str">
        <f>TEXT(Table1[[#This Row],[Order_Date]],"yyy")</f>
        <v>2025</v>
      </c>
    </row>
    <row r="559" spans="1:15" x14ac:dyDescent="0.3">
      <c r="A559" t="s">
        <v>609</v>
      </c>
      <c r="B559" s="1">
        <v>45936</v>
      </c>
      <c r="C559" t="s">
        <v>10</v>
      </c>
      <c r="D559" t="s">
        <v>9</v>
      </c>
      <c r="E559" t="s">
        <v>4</v>
      </c>
      <c r="F559" t="s">
        <v>23</v>
      </c>
      <c r="G559" t="s">
        <v>23</v>
      </c>
      <c r="H559" t="s">
        <v>35</v>
      </c>
      <c r="I559" t="s">
        <v>8</v>
      </c>
      <c r="J559">
        <v>14</v>
      </c>
      <c r="K559">
        <v>4050</v>
      </c>
      <c r="L559">
        <v>56700</v>
      </c>
      <c r="M559">
        <v>36883.56</v>
      </c>
      <c r="N559">
        <v>19816.439999999999</v>
      </c>
      <c r="O559" t="str">
        <f>TEXT(Table1[[#This Row],[Order_Date]],"yyy")</f>
        <v>2025</v>
      </c>
    </row>
    <row r="560" spans="1:15" x14ac:dyDescent="0.3">
      <c r="A560" t="s">
        <v>610</v>
      </c>
      <c r="B560" s="1">
        <v>45694</v>
      </c>
      <c r="C560" t="s">
        <v>17</v>
      </c>
      <c r="D560" t="s">
        <v>25</v>
      </c>
      <c r="E560" t="s">
        <v>11</v>
      </c>
      <c r="F560" t="s">
        <v>13</v>
      </c>
      <c r="G560" t="s">
        <v>13</v>
      </c>
      <c r="H560" t="s">
        <v>27</v>
      </c>
      <c r="I560" t="s">
        <v>8</v>
      </c>
      <c r="J560">
        <v>15</v>
      </c>
      <c r="K560">
        <v>590</v>
      </c>
      <c r="L560">
        <v>8850</v>
      </c>
      <c r="M560">
        <v>6616.8</v>
      </c>
      <c r="N560">
        <v>2233.1999999999998</v>
      </c>
      <c r="O560" t="str">
        <f>TEXT(Table1[[#This Row],[Order_Date]],"yyy")</f>
        <v>2025</v>
      </c>
    </row>
    <row r="561" spans="1:15" x14ac:dyDescent="0.3">
      <c r="A561" t="s">
        <v>611</v>
      </c>
      <c r="B561" s="1">
        <v>45464</v>
      </c>
      <c r="C561" t="s">
        <v>17</v>
      </c>
      <c r="D561" t="s">
        <v>9</v>
      </c>
      <c r="E561" t="s">
        <v>4</v>
      </c>
      <c r="F561" t="s">
        <v>32</v>
      </c>
      <c r="G561" t="s">
        <v>32</v>
      </c>
      <c r="H561" t="s">
        <v>33</v>
      </c>
      <c r="I561" t="s">
        <v>8</v>
      </c>
      <c r="J561">
        <v>4</v>
      </c>
      <c r="K561">
        <v>4578</v>
      </c>
      <c r="L561">
        <v>18312</v>
      </c>
      <c r="M561">
        <v>13363.04</v>
      </c>
      <c r="N561">
        <v>4948.96</v>
      </c>
      <c r="O561" t="str">
        <f>TEXT(Table1[[#This Row],[Order_Date]],"yyy")</f>
        <v>2024</v>
      </c>
    </row>
    <row r="562" spans="1:15" x14ac:dyDescent="0.3">
      <c r="A562" t="s">
        <v>612</v>
      </c>
      <c r="B562" s="1">
        <v>45796</v>
      </c>
      <c r="C562" t="s">
        <v>17</v>
      </c>
      <c r="D562" t="s">
        <v>21</v>
      </c>
      <c r="E562" t="s">
        <v>4</v>
      </c>
      <c r="F562" t="s">
        <v>36</v>
      </c>
      <c r="G562" t="s">
        <v>36</v>
      </c>
      <c r="H562" t="s">
        <v>20</v>
      </c>
      <c r="I562" t="s">
        <v>15</v>
      </c>
      <c r="J562">
        <v>16</v>
      </c>
      <c r="K562">
        <v>594</v>
      </c>
      <c r="L562">
        <v>9504</v>
      </c>
      <c r="M562">
        <v>6102.66</v>
      </c>
      <c r="N562">
        <v>3401.34</v>
      </c>
      <c r="O562" t="str">
        <f>TEXT(Table1[[#This Row],[Order_Date]],"yyy")</f>
        <v>2025</v>
      </c>
    </row>
    <row r="563" spans="1:15" x14ac:dyDescent="0.3">
      <c r="A563" t="s">
        <v>613</v>
      </c>
      <c r="B563" s="1">
        <v>45605</v>
      </c>
      <c r="C563" t="s">
        <v>22</v>
      </c>
      <c r="D563" t="s">
        <v>21</v>
      </c>
      <c r="E563" t="s">
        <v>4</v>
      </c>
      <c r="F563" t="s">
        <v>23</v>
      </c>
      <c r="G563" t="s">
        <v>23</v>
      </c>
      <c r="H563" t="s">
        <v>7</v>
      </c>
      <c r="I563" t="s">
        <v>15</v>
      </c>
      <c r="J563">
        <v>2</v>
      </c>
      <c r="K563">
        <v>875</v>
      </c>
      <c r="L563">
        <v>1750</v>
      </c>
      <c r="M563">
        <v>967.15</v>
      </c>
      <c r="N563">
        <v>782.85</v>
      </c>
      <c r="O563" t="str">
        <f>TEXT(Table1[[#This Row],[Order_Date]],"yyy")</f>
        <v>2024</v>
      </c>
    </row>
    <row r="564" spans="1:15" x14ac:dyDescent="0.3">
      <c r="A564" t="s">
        <v>614</v>
      </c>
      <c r="B564" s="1">
        <v>45728</v>
      </c>
      <c r="C564" t="s">
        <v>22</v>
      </c>
      <c r="D564" t="s">
        <v>28</v>
      </c>
      <c r="E564" t="s">
        <v>18</v>
      </c>
      <c r="F564" t="s">
        <v>29</v>
      </c>
      <c r="G564" t="s">
        <v>29</v>
      </c>
      <c r="H564" t="s">
        <v>30</v>
      </c>
      <c r="I564" t="s">
        <v>15</v>
      </c>
      <c r="J564">
        <v>3</v>
      </c>
      <c r="K564">
        <v>973</v>
      </c>
      <c r="L564">
        <v>2919</v>
      </c>
      <c r="M564">
        <v>2142.5700000000002</v>
      </c>
      <c r="N564">
        <v>776.43</v>
      </c>
      <c r="O564" t="str">
        <f>TEXT(Table1[[#This Row],[Order_Date]],"yyy")</f>
        <v>2025</v>
      </c>
    </row>
    <row r="565" spans="1:15" x14ac:dyDescent="0.3">
      <c r="A565" t="s">
        <v>615</v>
      </c>
      <c r="B565" s="1">
        <v>45390</v>
      </c>
      <c r="C565" t="s">
        <v>17</v>
      </c>
      <c r="D565" t="s">
        <v>31</v>
      </c>
      <c r="E565" t="s">
        <v>18</v>
      </c>
      <c r="F565" t="s">
        <v>29</v>
      </c>
      <c r="G565" t="s">
        <v>29</v>
      </c>
      <c r="H565" t="s">
        <v>35</v>
      </c>
      <c r="I565" t="s">
        <v>15</v>
      </c>
      <c r="J565">
        <v>3</v>
      </c>
      <c r="K565">
        <v>4492</v>
      </c>
      <c r="L565">
        <v>13476</v>
      </c>
      <c r="M565">
        <v>10855.08</v>
      </c>
      <c r="N565">
        <v>2620.92</v>
      </c>
      <c r="O565" t="str">
        <f>TEXT(Table1[[#This Row],[Order_Date]],"yyy")</f>
        <v>2024</v>
      </c>
    </row>
    <row r="566" spans="1:15" x14ac:dyDescent="0.3">
      <c r="A566" t="s">
        <v>616</v>
      </c>
      <c r="B566" s="1">
        <v>45949</v>
      </c>
      <c r="C566" t="s">
        <v>22</v>
      </c>
      <c r="D566" t="s">
        <v>16</v>
      </c>
      <c r="E566" t="s">
        <v>4</v>
      </c>
      <c r="F566" t="s">
        <v>23</v>
      </c>
      <c r="G566" t="s">
        <v>23</v>
      </c>
      <c r="H566" t="s">
        <v>7</v>
      </c>
      <c r="I566" t="s">
        <v>15</v>
      </c>
      <c r="J566">
        <v>2</v>
      </c>
      <c r="K566">
        <v>450</v>
      </c>
      <c r="L566">
        <v>900</v>
      </c>
      <c r="M566">
        <v>587.27</v>
      </c>
      <c r="N566">
        <v>312.73</v>
      </c>
      <c r="O566" t="str">
        <f>TEXT(Table1[[#This Row],[Order_Date]],"yyy")</f>
        <v>2025</v>
      </c>
    </row>
    <row r="567" spans="1:15" x14ac:dyDescent="0.3">
      <c r="A567" t="s">
        <v>617</v>
      </c>
      <c r="B567" s="1">
        <v>45640</v>
      </c>
      <c r="C567" t="s">
        <v>3</v>
      </c>
      <c r="D567" t="s">
        <v>28</v>
      </c>
      <c r="E567" t="s">
        <v>11</v>
      </c>
      <c r="F567" t="s">
        <v>19</v>
      </c>
      <c r="G567" t="s">
        <v>19</v>
      </c>
      <c r="H567" t="s">
        <v>30</v>
      </c>
      <c r="I567" t="s">
        <v>15</v>
      </c>
      <c r="J567">
        <v>17</v>
      </c>
      <c r="K567">
        <v>4339</v>
      </c>
      <c r="L567">
        <v>73763</v>
      </c>
      <c r="M567">
        <v>52775.77</v>
      </c>
      <c r="N567">
        <v>20987.23</v>
      </c>
      <c r="O567" t="str">
        <f>TEXT(Table1[[#This Row],[Order_Date]],"yyy")</f>
        <v>2024</v>
      </c>
    </row>
    <row r="568" spans="1:15" x14ac:dyDescent="0.3">
      <c r="A568" t="s">
        <v>618</v>
      </c>
      <c r="B568" s="1">
        <v>45912</v>
      </c>
      <c r="C568" t="s">
        <v>10</v>
      </c>
      <c r="D568" t="s">
        <v>21</v>
      </c>
      <c r="E568" t="s">
        <v>4</v>
      </c>
      <c r="F568" t="s">
        <v>23</v>
      </c>
      <c r="G568" t="s">
        <v>23</v>
      </c>
      <c r="H568" t="s">
        <v>14</v>
      </c>
      <c r="I568" t="s">
        <v>8</v>
      </c>
      <c r="J568">
        <v>17</v>
      </c>
      <c r="K568">
        <v>543</v>
      </c>
      <c r="L568">
        <v>9231</v>
      </c>
      <c r="M568">
        <v>5291.77</v>
      </c>
      <c r="N568">
        <v>3939.23</v>
      </c>
      <c r="O568" t="str">
        <f>TEXT(Table1[[#This Row],[Order_Date]],"yyy")</f>
        <v>2025</v>
      </c>
    </row>
    <row r="569" spans="1:15" x14ac:dyDescent="0.3">
      <c r="A569" t="s">
        <v>619</v>
      </c>
      <c r="B569" s="1">
        <v>45413</v>
      </c>
      <c r="C569" t="s">
        <v>22</v>
      </c>
      <c r="D569" t="s">
        <v>31</v>
      </c>
      <c r="E569" t="s">
        <v>4</v>
      </c>
      <c r="F569" t="s">
        <v>23</v>
      </c>
      <c r="G569" t="s">
        <v>23</v>
      </c>
      <c r="H569" t="s">
        <v>27</v>
      </c>
      <c r="I569" t="s">
        <v>15</v>
      </c>
      <c r="J569">
        <v>7</v>
      </c>
      <c r="K569">
        <v>1919</v>
      </c>
      <c r="L569">
        <v>13433</v>
      </c>
      <c r="M569">
        <v>11053.03</v>
      </c>
      <c r="N569">
        <v>2379.9699999999998</v>
      </c>
      <c r="O569" t="str">
        <f>TEXT(Table1[[#This Row],[Order_Date]],"yyy")</f>
        <v>2024</v>
      </c>
    </row>
    <row r="570" spans="1:15" x14ac:dyDescent="0.3">
      <c r="A570" t="s">
        <v>620</v>
      </c>
      <c r="B570" s="1">
        <v>45917</v>
      </c>
      <c r="C570" t="s">
        <v>17</v>
      </c>
      <c r="D570" t="s">
        <v>9</v>
      </c>
      <c r="E570" t="s">
        <v>11</v>
      </c>
      <c r="F570" t="s">
        <v>19</v>
      </c>
      <c r="G570" t="s">
        <v>19</v>
      </c>
      <c r="H570" t="s">
        <v>24</v>
      </c>
      <c r="I570" t="s">
        <v>15</v>
      </c>
      <c r="J570">
        <v>19</v>
      </c>
      <c r="K570">
        <v>2387</v>
      </c>
      <c r="L570">
        <v>45353</v>
      </c>
      <c r="M570">
        <v>35345.96</v>
      </c>
      <c r="N570">
        <v>10007.040000000001</v>
      </c>
      <c r="O570" t="str">
        <f>TEXT(Table1[[#This Row],[Order_Date]],"yyy")</f>
        <v>2025</v>
      </c>
    </row>
    <row r="571" spans="1:15" x14ac:dyDescent="0.3">
      <c r="A571" t="s">
        <v>621</v>
      </c>
      <c r="B571" s="1">
        <v>45796</v>
      </c>
      <c r="C571" t="s">
        <v>3</v>
      </c>
      <c r="D571" t="s">
        <v>21</v>
      </c>
      <c r="E571" t="s">
        <v>11</v>
      </c>
      <c r="F571" t="s">
        <v>19</v>
      </c>
      <c r="G571" t="s">
        <v>19</v>
      </c>
      <c r="H571" t="s">
        <v>35</v>
      </c>
      <c r="I571" t="s">
        <v>8</v>
      </c>
      <c r="J571">
        <v>11</v>
      </c>
      <c r="K571">
        <v>4055</v>
      </c>
      <c r="L571">
        <v>44605</v>
      </c>
      <c r="M571">
        <v>34702.910000000003</v>
      </c>
      <c r="N571">
        <v>9902.09</v>
      </c>
      <c r="O571" t="str">
        <f>TEXT(Table1[[#This Row],[Order_Date]],"yyy")</f>
        <v>2025</v>
      </c>
    </row>
    <row r="572" spans="1:15" x14ac:dyDescent="0.3">
      <c r="A572" t="s">
        <v>622</v>
      </c>
      <c r="B572" s="1">
        <v>45367</v>
      </c>
      <c r="C572" t="s">
        <v>10</v>
      </c>
      <c r="D572" t="s">
        <v>16</v>
      </c>
      <c r="E572" t="s">
        <v>4</v>
      </c>
      <c r="F572" t="s">
        <v>36</v>
      </c>
      <c r="G572" t="s">
        <v>36</v>
      </c>
      <c r="H572" t="s">
        <v>35</v>
      </c>
      <c r="I572" t="s">
        <v>8</v>
      </c>
      <c r="J572">
        <v>10</v>
      </c>
      <c r="K572">
        <v>3824</v>
      </c>
      <c r="L572">
        <v>38240</v>
      </c>
      <c r="M572">
        <v>30572.400000000001</v>
      </c>
      <c r="N572">
        <v>7667.6</v>
      </c>
      <c r="O572" t="str">
        <f>TEXT(Table1[[#This Row],[Order_Date]],"yyy")</f>
        <v>2024</v>
      </c>
    </row>
    <row r="573" spans="1:15" x14ac:dyDescent="0.3">
      <c r="A573" t="s">
        <v>623</v>
      </c>
      <c r="B573" s="1">
        <v>45772</v>
      </c>
      <c r="C573" t="s">
        <v>22</v>
      </c>
      <c r="D573" t="s">
        <v>25</v>
      </c>
      <c r="E573" t="s">
        <v>4</v>
      </c>
      <c r="F573" t="s">
        <v>36</v>
      </c>
      <c r="G573" t="s">
        <v>36</v>
      </c>
      <c r="H573" t="s">
        <v>33</v>
      </c>
      <c r="I573" t="s">
        <v>8</v>
      </c>
      <c r="J573">
        <v>5</v>
      </c>
      <c r="K573">
        <v>2664</v>
      </c>
      <c r="L573">
        <v>13320</v>
      </c>
      <c r="M573">
        <v>9453.2900000000009</v>
      </c>
      <c r="N573">
        <v>3866.71</v>
      </c>
      <c r="O573" t="str">
        <f>TEXT(Table1[[#This Row],[Order_Date]],"yyy")</f>
        <v>2025</v>
      </c>
    </row>
    <row r="574" spans="1:15" x14ac:dyDescent="0.3">
      <c r="A574" t="s">
        <v>624</v>
      </c>
      <c r="B574" s="1">
        <v>45429</v>
      </c>
      <c r="C574" t="s">
        <v>22</v>
      </c>
      <c r="D574" t="s">
        <v>28</v>
      </c>
      <c r="E574" t="s">
        <v>4</v>
      </c>
      <c r="F574" t="s">
        <v>32</v>
      </c>
      <c r="G574" t="s">
        <v>32</v>
      </c>
      <c r="H574" t="s">
        <v>30</v>
      </c>
      <c r="I574" t="s">
        <v>8</v>
      </c>
      <c r="J574">
        <v>7</v>
      </c>
      <c r="K574">
        <v>1220</v>
      </c>
      <c r="L574">
        <v>8540</v>
      </c>
      <c r="M574">
        <v>5389.57</v>
      </c>
      <c r="N574">
        <v>3150.43</v>
      </c>
      <c r="O574" t="str">
        <f>TEXT(Table1[[#This Row],[Order_Date]],"yyy")</f>
        <v>2024</v>
      </c>
    </row>
    <row r="575" spans="1:15" x14ac:dyDescent="0.3">
      <c r="A575" t="s">
        <v>625</v>
      </c>
      <c r="B575" s="1">
        <v>45565</v>
      </c>
      <c r="C575" t="s">
        <v>22</v>
      </c>
      <c r="D575" t="s">
        <v>9</v>
      </c>
      <c r="E575" t="s">
        <v>11</v>
      </c>
      <c r="F575" t="s">
        <v>19</v>
      </c>
      <c r="G575" t="s">
        <v>19</v>
      </c>
      <c r="H575" t="s">
        <v>33</v>
      </c>
      <c r="I575" t="s">
        <v>8</v>
      </c>
      <c r="J575">
        <v>11</v>
      </c>
      <c r="K575">
        <v>843</v>
      </c>
      <c r="L575">
        <v>9273</v>
      </c>
      <c r="M575">
        <v>5989.79</v>
      </c>
      <c r="N575">
        <v>3283.21</v>
      </c>
      <c r="O575" t="str">
        <f>TEXT(Table1[[#This Row],[Order_Date]],"yyy")</f>
        <v>2024</v>
      </c>
    </row>
    <row r="576" spans="1:15" x14ac:dyDescent="0.3">
      <c r="A576" t="s">
        <v>626</v>
      </c>
      <c r="B576" s="1">
        <v>45781</v>
      </c>
      <c r="C576" t="s">
        <v>10</v>
      </c>
      <c r="D576" t="s">
        <v>9</v>
      </c>
      <c r="E576" t="s">
        <v>4</v>
      </c>
      <c r="F576" t="s">
        <v>32</v>
      </c>
      <c r="G576" t="s">
        <v>32</v>
      </c>
      <c r="H576" t="s">
        <v>30</v>
      </c>
      <c r="I576" t="s">
        <v>8</v>
      </c>
      <c r="J576">
        <v>9</v>
      </c>
      <c r="K576">
        <v>1617</v>
      </c>
      <c r="L576">
        <v>14553</v>
      </c>
      <c r="M576">
        <v>9154.11</v>
      </c>
      <c r="N576">
        <v>5398.89</v>
      </c>
      <c r="O576" t="str">
        <f>TEXT(Table1[[#This Row],[Order_Date]],"yyy")</f>
        <v>2025</v>
      </c>
    </row>
    <row r="577" spans="1:15" x14ac:dyDescent="0.3">
      <c r="A577" t="s">
        <v>627</v>
      </c>
      <c r="B577" s="1">
        <v>45643</v>
      </c>
      <c r="C577" t="s">
        <v>10</v>
      </c>
      <c r="D577" t="s">
        <v>31</v>
      </c>
      <c r="E577" t="s">
        <v>4</v>
      </c>
      <c r="F577" t="s">
        <v>23</v>
      </c>
      <c r="G577" t="s">
        <v>23</v>
      </c>
      <c r="H577" t="s">
        <v>35</v>
      </c>
      <c r="I577" t="s">
        <v>8</v>
      </c>
      <c r="J577">
        <v>7</v>
      </c>
      <c r="K577">
        <v>4696</v>
      </c>
      <c r="L577">
        <v>32872</v>
      </c>
      <c r="M577">
        <v>25350.53</v>
      </c>
      <c r="N577">
        <v>7521.47</v>
      </c>
      <c r="O577" t="str">
        <f>TEXT(Table1[[#This Row],[Order_Date]],"yyy")</f>
        <v>2024</v>
      </c>
    </row>
    <row r="578" spans="1:15" x14ac:dyDescent="0.3">
      <c r="A578" t="s">
        <v>628</v>
      </c>
      <c r="B578" s="1">
        <v>45403</v>
      </c>
      <c r="C578" t="s">
        <v>3</v>
      </c>
      <c r="D578" t="s">
        <v>9</v>
      </c>
      <c r="E578" t="s">
        <v>4</v>
      </c>
      <c r="F578" t="s">
        <v>36</v>
      </c>
      <c r="G578" t="s">
        <v>36</v>
      </c>
      <c r="H578" t="s">
        <v>33</v>
      </c>
      <c r="I578" t="s">
        <v>8</v>
      </c>
      <c r="J578">
        <v>18</v>
      </c>
      <c r="K578">
        <v>3453</v>
      </c>
      <c r="L578">
        <v>62154</v>
      </c>
      <c r="M578">
        <v>43301.95</v>
      </c>
      <c r="N578">
        <v>18852.05</v>
      </c>
      <c r="O578" t="str">
        <f>TEXT(Table1[[#This Row],[Order_Date]],"yyy")</f>
        <v>2024</v>
      </c>
    </row>
    <row r="579" spans="1:15" x14ac:dyDescent="0.3">
      <c r="A579" t="s">
        <v>629</v>
      </c>
      <c r="B579" s="1">
        <v>45420</v>
      </c>
      <c r="C579" t="s">
        <v>10</v>
      </c>
      <c r="D579" t="s">
        <v>21</v>
      </c>
      <c r="E579" t="s">
        <v>4</v>
      </c>
      <c r="F579" t="s">
        <v>32</v>
      </c>
      <c r="G579" t="s">
        <v>32</v>
      </c>
      <c r="H579" t="s">
        <v>27</v>
      </c>
      <c r="I579" t="s">
        <v>8</v>
      </c>
      <c r="J579">
        <v>3</v>
      </c>
      <c r="K579">
        <v>1610</v>
      </c>
      <c r="L579">
        <v>4830</v>
      </c>
      <c r="M579">
        <v>2838.12</v>
      </c>
      <c r="N579">
        <v>1991.88</v>
      </c>
      <c r="O579" t="str">
        <f>TEXT(Table1[[#This Row],[Order_Date]],"yyy")</f>
        <v>2024</v>
      </c>
    </row>
    <row r="580" spans="1:15" x14ac:dyDescent="0.3">
      <c r="A580" t="s">
        <v>630</v>
      </c>
      <c r="B580" s="1">
        <v>45465</v>
      </c>
      <c r="C580" t="s">
        <v>3</v>
      </c>
      <c r="D580" t="s">
        <v>16</v>
      </c>
      <c r="E580" t="s">
        <v>11</v>
      </c>
      <c r="F580" t="s">
        <v>6</v>
      </c>
      <c r="G580" t="s">
        <v>6</v>
      </c>
      <c r="H580" t="s">
        <v>30</v>
      </c>
      <c r="I580" t="s">
        <v>15</v>
      </c>
      <c r="J580">
        <v>5</v>
      </c>
      <c r="K580">
        <v>3384</v>
      </c>
      <c r="L580">
        <v>16920</v>
      </c>
      <c r="M580">
        <v>10086.92</v>
      </c>
      <c r="N580">
        <v>6833.08</v>
      </c>
      <c r="O580" t="str">
        <f>TEXT(Table1[[#This Row],[Order_Date]],"yyy")</f>
        <v>2024</v>
      </c>
    </row>
    <row r="581" spans="1:15" x14ac:dyDescent="0.3">
      <c r="A581" t="s">
        <v>631</v>
      </c>
      <c r="B581" s="1">
        <v>45319</v>
      </c>
      <c r="C581" t="s">
        <v>17</v>
      </c>
      <c r="D581" t="s">
        <v>21</v>
      </c>
      <c r="E581" t="s">
        <v>11</v>
      </c>
      <c r="F581" t="s">
        <v>6</v>
      </c>
      <c r="G581" t="s">
        <v>6</v>
      </c>
      <c r="H581" t="s">
        <v>24</v>
      </c>
      <c r="I581" t="s">
        <v>15</v>
      </c>
      <c r="J581">
        <v>1</v>
      </c>
      <c r="K581">
        <v>2201</v>
      </c>
      <c r="L581">
        <v>2201</v>
      </c>
      <c r="M581">
        <v>1461.23</v>
      </c>
      <c r="N581">
        <v>739.77</v>
      </c>
      <c r="O581" t="str">
        <f>TEXT(Table1[[#This Row],[Order_Date]],"yyy")</f>
        <v>2024</v>
      </c>
    </row>
    <row r="582" spans="1:15" x14ac:dyDescent="0.3">
      <c r="A582" t="s">
        <v>632</v>
      </c>
      <c r="B582" s="1">
        <v>45579</v>
      </c>
      <c r="C582" t="s">
        <v>3</v>
      </c>
      <c r="D582" t="s">
        <v>9</v>
      </c>
      <c r="E582" t="s">
        <v>11</v>
      </c>
      <c r="F582" t="s">
        <v>6</v>
      </c>
      <c r="G582" t="s">
        <v>6</v>
      </c>
      <c r="H582" t="s">
        <v>7</v>
      </c>
      <c r="I582" t="s">
        <v>15</v>
      </c>
      <c r="J582">
        <v>10</v>
      </c>
      <c r="K582">
        <v>350</v>
      </c>
      <c r="L582">
        <v>3500</v>
      </c>
      <c r="M582">
        <v>2005.6</v>
      </c>
      <c r="N582">
        <v>1494.4</v>
      </c>
      <c r="O582" t="str">
        <f>TEXT(Table1[[#This Row],[Order_Date]],"yyy")</f>
        <v>2024</v>
      </c>
    </row>
    <row r="583" spans="1:15" x14ac:dyDescent="0.3">
      <c r="A583" t="s">
        <v>633</v>
      </c>
      <c r="B583" s="1">
        <v>45942</v>
      </c>
      <c r="C583" t="s">
        <v>17</v>
      </c>
      <c r="D583" t="s">
        <v>25</v>
      </c>
      <c r="E583" t="s">
        <v>11</v>
      </c>
      <c r="F583" t="s">
        <v>6</v>
      </c>
      <c r="G583" t="s">
        <v>6</v>
      </c>
      <c r="H583" t="s">
        <v>30</v>
      </c>
      <c r="I583" t="s">
        <v>15</v>
      </c>
      <c r="J583">
        <v>5</v>
      </c>
      <c r="K583">
        <v>1688</v>
      </c>
      <c r="L583">
        <v>8440</v>
      </c>
      <c r="M583">
        <v>5379.49</v>
      </c>
      <c r="N583">
        <v>3060.51</v>
      </c>
      <c r="O583" t="str">
        <f>TEXT(Table1[[#This Row],[Order_Date]],"yyy")</f>
        <v>2025</v>
      </c>
    </row>
    <row r="584" spans="1:15" x14ac:dyDescent="0.3">
      <c r="A584" t="s">
        <v>634</v>
      </c>
      <c r="B584" s="1">
        <v>45607</v>
      </c>
      <c r="C584" t="s">
        <v>10</v>
      </c>
      <c r="D584" t="s">
        <v>28</v>
      </c>
      <c r="E584" t="s">
        <v>4</v>
      </c>
      <c r="F584" t="s">
        <v>23</v>
      </c>
      <c r="G584" t="s">
        <v>23</v>
      </c>
      <c r="H584" t="s">
        <v>33</v>
      </c>
      <c r="I584" t="s">
        <v>15</v>
      </c>
      <c r="J584">
        <v>12</v>
      </c>
      <c r="K584">
        <v>966</v>
      </c>
      <c r="L584">
        <v>11592</v>
      </c>
      <c r="M584">
        <v>9732.57</v>
      </c>
      <c r="N584">
        <v>1859.43</v>
      </c>
      <c r="O584" t="str">
        <f>TEXT(Table1[[#This Row],[Order_Date]],"yyy")</f>
        <v>2024</v>
      </c>
    </row>
    <row r="585" spans="1:15" x14ac:dyDescent="0.3">
      <c r="A585" t="s">
        <v>635</v>
      </c>
      <c r="B585" s="1">
        <v>45391</v>
      </c>
      <c r="C585" t="s">
        <v>3</v>
      </c>
      <c r="D585" t="s">
        <v>9</v>
      </c>
      <c r="E585" t="s">
        <v>18</v>
      </c>
      <c r="F585" t="s">
        <v>29</v>
      </c>
      <c r="G585" t="s">
        <v>29</v>
      </c>
      <c r="H585" t="s">
        <v>35</v>
      </c>
      <c r="I585" t="s">
        <v>8</v>
      </c>
      <c r="J585">
        <v>1</v>
      </c>
      <c r="K585">
        <v>3264</v>
      </c>
      <c r="L585">
        <v>3264</v>
      </c>
      <c r="M585">
        <v>2596.0500000000002</v>
      </c>
      <c r="N585">
        <v>667.95</v>
      </c>
      <c r="O585" t="str">
        <f>TEXT(Table1[[#This Row],[Order_Date]],"yyy")</f>
        <v>2024</v>
      </c>
    </row>
    <row r="586" spans="1:15" x14ac:dyDescent="0.3">
      <c r="A586" t="s">
        <v>636</v>
      </c>
      <c r="B586" s="1">
        <v>45324</v>
      </c>
      <c r="C586" t="s">
        <v>22</v>
      </c>
      <c r="D586" t="s">
        <v>21</v>
      </c>
      <c r="E586" t="s">
        <v>11</v>
      </c>
      <c r="F586" t="s">
        <v>19</v>
      </c>
      <c r="G586" t="s">
        <v>19</v>
      </c>
      <c r="H586" t="s">
        <v>7</v>
      </c>
      <c r="I586" t="s">
        <v>15</v>
      </c>
      <c r="J586">
        <v>13</v>
      </c>
      <c r="K586">
        <v>2844</v>
      </c>
      <c r="L586">
        <v>36972</v>
      </c>
      <c r="M586">
        <v>21882.15</v>
      </c>
      <c r="N586">
        <v>15089.85</v>
      </c>
      <c r="O586" t="str">
        <f>TEXT(Table1[[#This Row],[Order_Date]],"yyy")</f>
        <v>2024</v>
      </c>
    </row>
    <row r="587" spans="1:15" x14ac:dyDescent="0.3">
      <c r="A587" t="s">
        <v>637</v>
      </c>
      <c r="B587" s="1">
        <v>45461</v>
      </c>
      <c r="C587" t="s">
        <v>22</v>
      </c>
      <c r="D587" t="s">
        <v>16</v>
      </c>
      <c r="E587" t="s">
        <v>4</v>
      </c>
      <c r="F587" t="s">
        <v>32</v>
      </c>
      <c r="G587" t="s">
        <v>32</v>
      </c>
      <c r="H587" t="s">
        <v>14</v>
      </c>
      <c r="I587" t="s">
        <v>8</v>
      </c>
      <c r="J587">
        <v>9</v>
      </c>
      <c r="K587">
        <v>2803</v>
      </c>
      <c r="L587">
        <v>25227</v>
      </c>
      <c r="M587">
        <v>19514.43</v>
      </c>
      <c r="N587">
        <v>5712.57</v>
      </c>
      <c r="O587" t="str">
        <f>TEXT(Table1[[#This Row],[Order_Date]],"yyy")</f>
        <v>2024</v>
      </c>
    </row>
    <row r="588" spans="1:15" x14ac:dyDescent="0.3">
      <c r="A588" t="s">
        <v>638</v>
      </c>
      <c r="B588" s="1">
        <v>45902</v>
      </c>
      <c r="C588" t="s">
        <v>10</v>
      </c>
      <c r="D588" t="s">
        <v>28</v>
      </c>
      <c r="E588" t="s">
        <v>11</v>
      </c>
      <c r="F588" t="s">
        <v>13</v>
      </c>
      <c r="G588" t="s">
        <v>13</v>
      </c>
      <c r="H588" t="s">
        <v>33</v>
      </c>
      <c r="I588" t="s">
        <v>15</v>
      </c>
      <c r="J588">
        <v>11</v>
      </c>
      <c r="K588">
        <v>741</v>
      </c>
      <c r="L588">
        <v>8151</v>
      </c>
      <c r="M588">
        <v>6087.92</v>
      </c>
      <c r="N588">
        <v>2063.08</v>
      </c>
      <c r="O588" t="str">
        <f>TEXT(Table1[[#This Row],[Order_Date]],"yyy")</f>
        <v>2025</v>
      </c>
    </row>
    <row r="589" spans="1:15" x14ac:dyDescent="0.3">
      <c r="A589" t="s">
        <v>639</v>
      </c>
      <c r="B589" s="1">
        <v>45300</v>
      </c>
      <c r="C589" t="s">
        <v>3</v>
      </c>
      <c r="D589" t="s">
        <v>25</v>
      </c>
      <c r="E589" t="s">
        <v>4</v>
      </c>
      <c r="F589" t="s">
        <v>23</v>
      </c>
      <c r="G589" t="s">
        <v>23</v>
      </c>
      <c r="H589" t="s">
        <v>14</v>
      </c>
      <c r="I589" t="s">
        <v>15</v>
      </c>
      <c r="J589">
        <v>12</v>
      </c>
      <c r="K589">
        <v>1112</v>
      </c>
      <c r="L589">
        <v>13344</v>
      </c>
      <c r="M589">
        <v>9344.8700000000008</v>
      </c>
      <c r="N589">
        <v>3999.13</v>
      </c>
      <c r="O589" t="str">
        <f>TEXT(Table1[[#This Row],[Order_Date]],"yyy")</f>
        <v>2024</v>
      </c>
    </row>
    <row r="590" spans="1:15" x14ac:dyDescent="0.3">
      <c r="A590" t="s">
        <v>640</v>
      </c>
      <c r="B590" s="1">
        <v>45607</v>
      </c>
      <c r="C590" t="s">
        <v>3</v>
      </c>
      <c r="D590" t="s">
        <v>9</v>
      </c>
      <c r="E590" t="s">
        <v>18</v>
      </c>
      <c r="F590" t="s">
        <v>26</v>
      </c>
      <c r="G590" t="s">
        <v>26</v>
      </c>
      <c r="H590" t="s">
        <v>30</v>
      </c>
      <c r="I590" t="s">
        <v>8</v>
      </c>
      <c r="J590">
        <v>1</v>
      </c>
      <c r="K590">
        <v>4293</v>
      </c>
      <c r="L590">
        <v>4293</v>
      </c>
      <c r="M590">
        <v>3571.64</v>
      </c>
      <c r="N590">
        <v>721.36</v>
      </c>
      <c r="O590" t="str">
        <f>TEXT(Table1[[#This Row],[Order_Date]],"yyy")</f>
        <v>2024</v>
      </c>
    </row>
    <row r="591" spans="1:15" x14ac:dyDescent="0.3">
      <c r="A591" t="s">
        <v>641</v>
      </c>
      <c r="B591" s="1">
        <v>45851</v>
      </c>
      <c r="C591" t="s">
        <v>22</v>
      </c>
      <c r="D591" t="s">
        <v>28</v>
      </c>
      <c r="E591" t="s">
        <v>4</v>
      </c>
      <c r="F591" t="s">
        <v>32</v>
      </c>
      <c r="G591" t="s">
        <v>32</v>
      </c>
      <c r="H591" t="s">
        <v>7</v>
      </c>
      <c r="I591" t="s">
        <v>8</v>
      </c>
      <c r="J591">
        <v>19</v>
      </c>
      <c r="K591">
        <v>1998</v>
      </c>
      <c r="L591">
        <v>37962</v>
      </c>
      <c r="M591">
        <v>23642.62</v>
      </c>
      <c r="N591">
        <v>14319.38</v>
      </c>
      <c r="O591" t="str">
        <f>TEXT(Table1[[#This Row],[Order_Date]],"yyy")</f>
        <v>2025</v>
      </c>
    </row>
    <row r="592" spans="1:15" x14ac:dyDescent="0.3">
      <c r="A592" t="s">
        <v>642</v>
      </c>
      <c r="B592" s="1">
        <v>45714</v>
      </c>
      <c r="C592" t="s">
        <v>17</v>
      </c>
      <c r="D592" t="s">
        <v>9</v>
      </c>
      <c r="E592" t="s">
        <v>4</v>
      </c>
      <c r="F592" t="s">
        <v>32</v>
      </c>
      <c r="G592" t="s">
        <v>32</v>
      </c>
      <c r="H592" t="s">
        <v>7</v>
      </c>
      <c r="I592" t="s">
        <v>15</v>
      </c>
      <c r="J592">
        <v>15</v>
      </c>
      <c r="K592">
        <v>4690</v>
      </c>
      <c r="L592">
        <v>70350</v>
      </c>
      <c r="M592">
        <v>44135.040000000001</v>
      </c>
      <c r="N592">
        <v>26214.959999999999</v>
      </c>
      <c r="O592" t="str">
        <f>TEXT(Table1[[#This Row],[Order_Date]],"yyy")</f>
        <v>2025</v>
      </c>
    </row>
    <row r="593" spans="1:15" x14ac:dyDescent="0.3">
      <c r="A593" t="s">
        <v>643</v>
      </c>
      <c r="B593" s="1">
        <v>45513</v>
      </c>
      <c r="C593" t="s">
        <v>17</v>
      </c>
      <c r="D593" t="s">
        <v>31</v>
      </c>
      <c r="E593" t="s">
        <v>11</v>
      </c>
      <c r="F593" t="s">
        <v>13</v>
      </c>
      <c r="G593" t="s">
        <v>13</v>
      </c>
      <c r="H593" t="s">
        <v>30</v>
      </c>
      <c r="I593" t="s">
        <v>8</v>
      </c>
      <c r="J593">
        <v>6</v>
      </c>
      <c r="K593">
        <v>4409</v>
      </c>
      <c r="L593">
        <v>26454</v>
      </c>
      <c r="M593">
        <v>19643.86</v>
      </c>
      <c r="N593">
        <v>6810.14</v>
      </c>
      <c r="O593" t="str">
        <f>TEXT(Table1[[#This Row],[Order_Date]],"yyy")</f>
        <v>2024</v>
      </c>
    </row>
    <row r="594" spans="1:15" x14ac:dyDescent="0.3">
      <c r="A594" t="s">
        <v>644</v>
      </c>
      <c r="B594" s="1">
        <v>45655</v>
      </c>
      <c r="C594" t="s">
        <v>17</v>
      </c>
      <c r="D594" t="s">
        <v>31</v>
      </c>
      <c r="E594" t="s">
        <v>4</v>
      </c>
      <c r="F594" t="s">
        <v>36</v>
      </c>
      <c r="G594" t="s">
        <v>36</v>
      </c>
      <c r="H594" t="s">
        <v>30</v>
      </c>
      <c r="I594" t="s">
        <v>8</v>
      </c>
      <c r="J594">
        <v>5</v>
      </c>
      <c r="K594">
        <v>2155</v>
      </c>
      <c r="L594">
        <v>10775</v>
      </c>
      <c r="M594">
        <v>7066.53</v>
      </c>
      <c r="N594">
        <v>3708.47</v>
      </c>
      <c r="O594" t="str">
        <f>TEXT(Table1[[#This Row],[Order_Date]],"yyy")</f>
        <v>2024</v>
      </c>
    </row>
    <row r="595" spans="1:15" x14ac:dyDescent="0.3">
      <c r="A595" t="s">
        <v>645</v>
      </c>
      <c r="B595" s="1">
        <v>45428</v>
      </c>
      <c r="C595" t="s">
        <v>22</v>
      </c>
      <c r="D595" t="s">
        <v>21</v>
      </c>
      <c r="E595" t="s">
        <v>18</v>
      </c>
      <c r="F595" t="s">
        <v>29</v>
      </c>
      <c r="G595" t="s">
        <v>29</v>
      </c>
      <c r="H595" t="s">
        <v>30</v>
      </c>
      <c r="I595" t="s">
        <v>15</v>
      </c>
      <c r="J595">
        <v>6</v>
      </c>
      <c r="K595">
        <v>760</v>
      </c>
      <c r="L595">
        <v>4560</v>
      </c>
      <c r="M595">
        <v>2695.76</v>
      </c>
      <c r="N595">
        <v>1864.24</v>
      </c>
      <c r="O595" t="str">
        <f>TEXT(Table1[[#This Row],[Order_Date]],"yyy")</f>
        <v>2024</v>
      </c>
    </row>
    <row r="596" spans="1:15" x14ac:dyDescent="0.3">
      <c r="A596" t="s">
        <v>646</v>
      </c>
      <c r="B596" s="1">
        <v>45587</v>
      </c>
      <c r="C596" t="s">
        <v>10</v>
      </c>
      <c r="D596" t="s">
        <v>21</v>
      </c>
      <c r="E596" t="s">
        <v>18</v>
      </c>
      <c r="F596" t="s">
        <v>34</v>
      </c>
      <c r="G596" t="s">
        <v>34</v>
      </c>
      <c r="H596" t="s">
        <v>20</v>
      </c>
      <c r="I596" t="s">
        <v>15</v>
      </c>
      <c r="J596">
        <v>19</v>
      </c>
      <c r="K596">
        <v>4284</v>
      </c>
      <c r="L596">
        <v>81396</v>
      </c>
      <c r="M596">
        <v>67994.77</v>
      </c>
      <c r="N596">
        <v>13401.23</v>
      </c>
      <c r="O596" t="str">
        <f>TEXT(Table1[[#This Row],[Order_Date]],"yyy")</f>
        <v>2024</v>
      </c>
    </row>
    <row r="597" spans="1:15" x14ac:dyDescent="0.3">
      <c r="A597" t="s">
        <v>647</v>
      </c>
      <c r="B597" s="1">
        <v>45827</v>
      </c>
      <c r="C597" t="s">
        <v>17</v>
      </c>
      <c r="D597" t="s">
        <v>31</v>
      </c>
      <c r="E597" t="s">
        <v>11</v>
      </c>
      <c r="F597" t="s">
        <v>19</v>
      </c>
      <c r="G597" t="s">
        <v>19</v>
      </c>
      <c r="H597" t="s">
        <v>33</v>
      </c>
      <c r="I597" t="s">
        <v>15</v>
      </c>
      <c r="J597">
        <v>2</v>
      </c>
      <c r="K597">
        <v>3725</v>
      </c>
      <c r="L597">
        <v>7450</v>
      </c>
      <c r="M597">
        <v>5058.6400000000003</v>
      </c>
      <c r="N597">
        <v>2391.36</v>
      </c>
      <c r="O597" t="str">
        <f>TEXT(Table1[[#This Row],[Order_Date]],"yyy")</f>
        <v>2025</v>
      </c>
    </row>
    <row r="598" spans="1:15" x14ac:dyDescent="0.3">
      <c r="A598" t="s">
        <v>648</v>
      </c>
      <c r="B598" s="1">
        <v>45857</v>
      </c>
      <c r="C598" t="s">
        <v>10</v>
      </c>
      <c r="D598" t="s">
        <v>21</v>
      </c>
      <c r="E598" t="s">
        <v>4</v>
      </c>
      <c r="F598" t="s">
        <v>36</v>
      </c>
      <c r="G598" t="s">
        <v>36</v>
      </c>
      <c r="H598" t="s">
        <v>35</v>
      </c>
      <c r="I598" t="s">
        <v>8</v>
      </c>
      <c r="J598">
        <v>15</v>
      </c>
      <c r="K598">
        <v>3710</v>
      </c>
      <c r="L598">
        <v>55650</v>
      </c>
      <c r="M598">
        <v>46912.69</v>
      </c>
      <c r="N598">
        <v>8737.31</v>
      </c>
      <c r="O598" t="str">
        <f>TEXT(Table1[[#This Row],[Order_Date]],"yyy")</f>
        <v>2025</v>
      </c>
    </row>
    <row r="599" spans="1:15" x14ac:dyDescent="0.3">
      <c r="A599" t="s">
        <v>649</v>
      </c>
      <c r="B599" s="1">
        <v>45980</v>
      </c>
      <c r="C599" t="s">
        <v>10</v>
      </c>
      <c r="D599" t="s">
        <v>31</v>
      </c>
      <c r="E599" t="s">
        <v>4</v>
      </c>
      <c r="F599" t="s">
        <v>32</v>
      </c>
      <c r="G599" t="s">
        <v>32</v>
      </c>
      <c r="H599" t="s">
        <v>20</v>
      </c>
      <c r="I599" t="s">
        <v>15</v>
      </c>
      <c r="J599">
        <v>2</v>
      </c>
      <c r="K599">
        <v>4237</v>
      </c>
      <c r="L599">
        <v>8474</v>
      </c>
      <c r="M599">
        <v>6415.42</v>
      </c>
      <c r="N599">
        <v>2058.58</v>
      </c>
      <c r="O599" t="str">
        <f>TEXT(Table1[[#This Row],[Order_Date]],"yyy")</f>
        <v>2025</v>
      </c>
    </row>
    <row r="600" spans="1:15" x14ac:dyDescent="0.3">
      <c r="A600" t="s">
        <v>650</v>
      </c>
      <c r="B600" s="1">
        <v>45434</v>
      </c>
      <c r="C600" t="s">
        <v>3</v>
      </c>
      <c r="D600" t="s">
        <v>31</v>
      </c>
      <c r="E600" t="s">
        <v>4</v>
      </c>
      <c r="F600" t="s">
        <v>23</v>
      </c>
      <c r="G600" t="s">
        <v>23</v>
      </c>
      <c r="H600" t="s">
        <v>27</v>
      </c>
      <c r="I600" t="s">
        <v>15</v>
      </c>
      <c r="J600">
        <v>1</v>
      </c>
      <c r="K600">
        <v>1070</v>
      </c>
      <c r="L600">
        <v>1070</v>
      </c>
      <c r="M600">
        <v>635.15</v>
      </c>
      <c r="N600">
        <v>434.85</v>
      </c>
      <c r="O600" t="str">
        <f>TEXT(Table1[[#This Row],[Order_Date]],"yyy")</f>
        <v>2024</v>
      </c>
    </row>
    <row r="601" spans="1:15" x14ac:dyDescent="0.3">
      <c r="A601" t="s">
        <v>651</v>
      </c>
      <c r="B601" s="1">
        <v>45960</v>
      </c>
      <c r="C601" t="s">
        <v>3</v>
      </c>
      <c r="D601" t="s">
        <v>9</v>
      </c>
      <c r="E601" t="s">
        <v>18</v>
      </c>
      <c r="F601" t="s">
        <v>34</v>
      </c>
      <c r="G601" t="s">
        <v>34</v>
      </c>
      <c r="H601" t="s">
        <v>24</v>
      </c>
      <c r="I601" t="s">
        <v>8</v>
      </c>
      <c r="J601">
        <v>13</v>
      </c>
      <c r="K601">
        <v>2699</v>
      </c>
      <c r="L601">
        <v>35087</v>
      </c>
      <c r="M601">
        <v>28314.240000000002</v>
      </c>
      <c r="N601">
        <v>6772.76</v>
      </c>
      <c r="O601" t="str">
        <f>TEXT(Table1[[#This Row],[Order_Date]],"yyy")</f>
        <v>2025</v>
      </c>
    </row>
    <row r="602" spans="1:15" x14ac:dyDescent="0.3">
      <c r="A602" t="s">
        <v>652</v>
      </c>
      <c r="B602" s="1">
        <v>45943</v>
      </c>
      <c r="C602" t="s">
        <v>22</v>
      </c>
      <c r="D602" t="s">
        <v>16</v>
      </c>
      <c r="E602" t="s">
        <v>18</v>
      </c>
      <c r="F602" t="s">
        <v>34</v>
      </c>
      <c r="G602" t="s">
        <v>34</v>
      </c>
      <c r="H602" t="s">
        <v>24</v>
      </c>
      <c r="I602" t="s">
        <v>15</v>
      </c>
      <c r="J602">
        <v>9</v>
      </c>
      <c r="K602">
        <v>710</v>
      </c>
      <c r="L602">
        <v>6390</v>
      </c>
      <c r="M602">
        <v>4660.01</v>
      </c>
      <c r="N602">
        <v>1729.99</v>
      </c>
      <c r="O602" t="str">
        <f>TEXT(Table1[[#This Row],[Order_Date]],"yyy")</f>
        <v>2025</v>
      </c>
    </row>
    <row r="603" spans="1:15" x14ac:dyDescent="0.3">
      <c r="A603" t="s">
        <v>653</v>
      </c>
      <c r="B603" s="1">
        <v>45767</v>
      </c>
      <c r="C603" t="s">
        <v>17</v>
      </c>
      <c r="D603" t="s">
        <v>9</v>
      </c>
      <c r="E603" t="s">
        <v>18</v>
      </c>
      <c r="F603" t="s">
        <v>29</v>
      </c>
      <c r="G603" t="s">
        <v>29</v>
      </c>
      <c r="H603" t="s">
        <v>7</v>
      </c>
      <c r="I603" t="s">
        <v>8</v>
      </c>
      <c r="J603">
        <v>3</v>
      </c>
      <c r="K603">
        <v>3765</v>
      </c>
      <c r="L603">
        <v>11295</v>
      </c>
      <c r="M603">
        <v>7912.8</v>
      </c>
      <c r="N603">
        <v>3382.2</v>
      </c>
      <c r="O603" t="str">
        <f>TEXT(Table1[[#This Row],[Order_Date]],"yyy")</f>
        <v>2025</v>
      </c>
    </row>
    <row r="604" spans="1:15" x14ac:dyDescent="0.3">
      <c r="A604" t="s">
        <v>654</v>
      </c>
      <c r="B604" s="1">
        <v>45490</v>
      </c>
      <c r="C604" t="s">
        <v>17</v>
      </c>
      <c r="D604" t="s">
        <v>28</v>
      </c>
      <c r="E604" t="s">
        <v>11</v>
      </c>
      <c r="F604" t="s">
        <v>19</v>
      </c>
      <c r="G604" t="s">
        <v>19</v>
      </c>
      <c r="H604" t="s">
        <v>33</v>
      </c>
      <c r="I604" t="s">
        <v>8</v>
      </c>
      <c r="J604">
        <v>14</v>
      </c>
      <c r="K604">
        <v>681</v>
      </c>
      <c r="L604">
        <v>9534</v>
      </c>
      <c r="M604">
        <v>5733.19</v>
      </c>
      <c r="N604">
        <v>3800.81</v>
      </c>
      <c r="O604" t="str">
        <f>TEXT(Table1[[#This Row],[Order_Date]],"yyy")</f>
        <v>2024</v>
      </c>
    </row>
    <row r="605" spans="1:15" x14ac:dyDescent="0.3">
      <c r="A605" t="s">
        <v>655</v>
      </c>
      <c r="B605" s="1">
        <v>45772</v>
      </c>
      <c r="C605" t="s">
        <v>3</v>
      </c>
      <c r="D605" t="s">
        <v>25</v>
      </c>
      <c r="E605" t="s">
        <v>11</v>
      </c>
      <c r="F605" t="s">
        <v>13</v>
      </c>
      <c r="G605" t="s">
        <v>13</v>
      </c>
      <c r="H605" t="s">
        <v>33</v>
      </c>
      <c r="I605" t="s">
        <v>8</v>
      </c>
      <c r="J605">
        <v>17</v>
      </c>
      <c r="K605">
        <v>1449</v>
      </c>
      <c r="L605">
        <v>24633</v>
      </c>
      <c r="M605">
        <v>13796.29</v>
      </c>
      <c r="N605">
        <v>10836.71</v>
      </c>
      <c r="O605" t="str">
        <f>TEXT(Table1[[#This Row],[Order_Date]],"yyy")</f>
        <v>2025</v>
      </c>
    </row>
    <row r="606" spans="1:15" x14ac:dyDescent="0.3">
      <c r="A606" t="s">
        <v>656</v>
      </c>
      <c r="B606" s="1">
        <v>45914</v>
      </c>
      <c r="C606" t="s">
        <v>22</v>
      </c>
      <c r="D606" t="s">
        <v>21</v>
      </c>
      <c r="E606" t="s">
        <v>4</v>
      </c>
      <c r="F606" t="s">
        <v>23</v>
      </c>
      <c r="G606" t="s">
        <v>23</v>
      </c>
      <c r="H606" t="s">
        <v>33</v>
      </c>
      <c r="I606" t="s">
        <v>15</v>
      </c>
      <c r="J606">
        <v>18</v>
      </c>
      <c r="K606">
        <v>441</v>
      </c>
      <c r="L606">
        <v>7938</v>
      </c>
      <c r="M606">
        <v>5378.22</v>
      </c>
      <c r="N606">
        <v>2559.7800000000002</v>
      </c>
      <c r="O606" t="str">
        <f>TEXT(Table1[[#This Row],[Order_Date]],"yyy")</f>
        <v>2025</v>
      </c>
    </row>
    <row r="607" spans="1:15" x14ac:dyDescent="0.3">
      <c r="A607" t="s">
        <v>657</v>
      </c>
      <c r="B607" s="1">
        <v>45840</v>
      </c>
      <c r="C607" t="s">
        <v>3</v>
      </c>
      <c r="D607" t="s">
        <v>31</v>
      </c>
      <c r="E607" t="s">
        <v>4</v>
      </c>
      <c r="F607" t="s">
        <v>23</v>
      </c>
      <c r="G607" t="s">
        <v>23</v>
      </c>
      <c r="H607" t="s">
        <v>30</v>
      </c>
      <c r="I607" t="s">
        <v>8</v>
      </c>
      <c r="J607">
        <v>4</v>
      </c>
      <c r="K607">
        <v>3199</v>
      </c>
      <c r="L607">
        <v>12796</v>
      </c>
      <c r="M607">
        <v>8337.6299999999992</v>
      </c>
      <c r="N607">
        <v>4458.37</v>
      </c>
      <c r="O607" t="str">
        <f>TEXT(Table1[[#This Row],[Order_Date]],"yyy")</f>
        <v>2025</v>
      </c>
    </row>
    <row r="608" spans="1:15" x14ac:dyDescent="0.3">
      <c r="A608" t="s">
        <v>658</v>
      </c>
      <c r="B608" s="1">
        <v>45958</v>
      </c>
      <c r="C608" t="s">
        <v>17</v>
      </c>
      <c r="D608" t="s">
        <v>28</v>
      </c>
      <c r="E608" t="s">
        <v>18</v>
      </c>
      <c r="F608" t="s">
        <v>26</v>
      </c>
      <c r="G608" t="s">
        <v>26</v>
      </c>
      <c r="H608" t="s">
        <v>20</v>
      </c>
      <c r="I608" t="s">
        <v>8</v>
      </c>
      <c r="J608">
        <v>10</v>
      </c>
      <c r="K608">
        <v>1921</v>
      </c>
      <c r="L608">
        <v>19210</v>
      </c>
      <c r="M608">
        <v>12537.56</v>
      </c>
      <c r="N608">
        <v>6672.44</v>
      </c>
      <c r="O608" t="str">
        <f>TEXT(Table1[[#This Row],[Order_Date]],"yyy")</f>
        <v>2025</v>
      </c>
    </row>
    <row r="609" spans="1:15" x14ac:dyDescent="0.3">
      <c r="A609" t="s">
        <v>659</v>
      </c>
      <c r="B609" s="1">
        <v>45617</v>
      </c>
      <c r="C609" t="s">
        <v>22</v>
      </c>
      <c r="D609" t="s">
        <v>16</v>
      </c>
      <c r="E609" t="s">
        <v>11</v>
      </c>
      <c r="F609" t="s">
        <v>13</v>
      </c>
      <c r="G609" t="s">
        <v>13</v>
      </c>
      <c r="H609" t="s">
        <v>14</v>
      </c>
      <c r="I609" t="s">
        <v>15</v>
      </c>
      <c r="J609">
        <v>17</v>
      </c>
      <c r="K609">
        <v>4685</v>
      </c>
      <c r="L609">
        <v>79645</v>
      </c>
      <c r="M609">
        <v>58174.47</v>
      </c>
      <c r="N609">
        <v>21470.53</v>
      </c>
      <c r="O609" t="str">
        <f>TEXT(Table1[[#This Row],[Order_Date]],"yyy")</f>
        <v>2024</v>
      </c>
    </row>
    <row r="610" spans="1:15" x14ac:dyDescent="0.3">
      <c r="A610" t="s">
        <v>660</v>
      </c>
      <c r="B610" s="1">
        <v>45587</v>
      </c>
      <c r="C610" t="s">
        <v>3</v>
      </c>
      <c r="D610" t="s">
        <v>16</v>
      </c>
      <c r="E610" t="s">
        <v>18</v>
      </c>
      <c r="F610" t="s">
        <v>29</v>
      </c>
      <c r="G610" t="s">
        <v>29</v>
      </c>
      <c r="H610" t="s">
        <v>24</v>
      </c>
      <c r="I610" t="s">
        <v>15</v>
      </c>
      <c r="J610">
        <v>17</v>
      </c>
      <c r="K610">
        <v>4315</v>
      </c>
      <c r="L610">
        <v>73355</v>
      </c>
      <c r="M610">
        <v>57643</v>
      </c>
      <c r="N610">
        <v>15712</v>
      </c>
      <c r="O610" t="str">
        <f>TEXT(Table1[[#This Row],[Order_Date]],"yyy")</f>
        <v>2024</v>
      </c>
    </row>
    <row r="611" spans="1:15" x14ac:dyDescent="0.3">
      <c r="A611" t="s">
        <v>661</v>
      </c>
      <c r="B611" s="1">
        <v>45567</v>
      </c>
      <c r="C611" t="s">
        <v>17</v>
      </c>
      <c r="D611" t="s">
        <v>31</v>
      </c>
      <c r="E611" t="s">
        <v>18</v>
      </c>
      <c r="F611" t="s">
        <v>29</v>
      </c>
      <c r="G611" t="s">
        <v>29</v>
      </c>
      <c r="H611" t="s">
        <v>33</v>
      </c>
      <c r="I611" t="s">
        <v>8</v>
      </c>
      <c r="J611">
        <v>16</v>
      </c>
      <c r="K611">
        <v>3507</v>
      </c>
      <c r="L611">
        <v>56112</v>
      </c>
      <c r="M611">
        <v>35124.93</v>
      </c>
      <c r="N611">
        <v>20987.07</v>
      </c>
      <c r="O611" t="str">
        <f>TEXT(Table1[[#This Row],[Order_Date]],"yyy")</f>
        <v>2024</v>
      </c>
    </row>
    <row r="612" spans="1:15" x14ac:dyDescent="0.3">
      <c r="A612" t="s">
        <v>662</v>
      </c>
      <c r="B612" s="1">
        <v>45537</v>
      </c>
      <c r="C612" t="s">
        <v>10</v>
      </c>
      <c r="D612" t="s">
        <v>28</v>
      </c>
      <c r="E612" t="s">
        <v>11</v>
      </c>
      <c r="F612" t="s">
        <v>19</v>
      </c>
      <c r="G612" t="s">
        <v>19</v>
      </c>
      <c r="H612" t="s">
        <v>20</v>
      </c>
      <c r="I612" t="s">
        <v>8</v>
      </c>
      <c r="J612">
        <v>17</v>
      </c>
      <c r="K612">
        <v>3357</v>
      </c>
      <c r="L612">
        <v>57069</v>
      </c>
      <c r="M612">
        <v>45063.17</v>
      </c>
      <c r="N612">
        <v>12005.83</v>
      </c>
      <c r="O612" t="str">
        <f>TEXT(Table1[[#This Row],[Order_Date]],"yyy")</f>
        <v>2024</v>
      </c>
    </row>
    <row r="613" spans="1:15" x14ac:dyDescent="0.3">
      <c r="A613" t="s">
        <v>663</v>
      </c>
      <c r="B613" s="1">
        <v>45559</v>
      </c>
      <c r="C613" t="s">
        <v>17</v>
      </c>
      <c r="D613" t="s">
        <v>9</v>
      </c>
      <c r="E613" t="s">
        <v>11</v>
      </c>
      <c r="F613" t="s">
        <v>19</v>
      </c>
      <c r="G613" t="s">
        <v>19</v>
      </c>
      <c r="H613" t="s">
        <v>7</v>
      </c>
      <c r="I613" t="s">
        <v>15</v>
      </c>
      <c r="J613">
        <v>10</v>
      </c>
      <c r="K613">
        <v>1427</v>
      </c>
      <c r="L613">
        <v>14270</v>
      </c>
      <c r="M613">
        <v>11996.96</v>
      </c>
      <c r="N613">
        <v>2273.04</v>
      </c>
      <c r="O613" t="str">
        <f>TEXT(Table1[[#This Row],[Order_Date]],"yyy")</f>
        <v>2024</v>
      </c>
    </row>
    <row r="614" spans="1:15" x14ac:dyDescent="0.3">
      <c r="A614" t="s">
        <v>664</v>
      </c>
      <c r="B614" s="1">
        <v>45488</v>
      </c>
      <c r="C614" t="s">
        <v>22</v>
      </c>
      <c r="D614" t="s">
        <v>31</v>
      </c>
      <c r="E614" t="s">
        <v>18</v>
      </c>
      <c r="F614" t="s">
        <v>29</v>
      </c>
      <c r="G614" t="s">
        <v>29</v>
      </c>
      <c r="H614" t="s">
        <v>27</v>
      </c>
      <c r="I614" t="s">
        <v>8</v>
      </c>
      <c r="J614">
        <v>6</v>
      </c>
      <c r="K614">
        <v>286</v>
      </c>
      <c r="L614">
        <v>1716</v>
      </c>
      <c r="M614">
        <v>1063.0999999999999</v>
      </c>
      <c r="N614">
        <v>652.9</v>
      </c>
      <c r="O614" t="str">
        <f>TEXT(Table1[[#This Row],[Order_Date]],"yyy")</f>
        <v>2024</v>
      </c>
    </row>
    <row r="615" spans="1:15" x14ac:dyDescent="0.3">
      <c r="A615" t="s">
        <v>665</v>
      </c>
      <c r="B615" s="1">
        <v>45601</v>
      </c>
      <c r="C615" t="s">
        <v>3</v>
      </c>
      <c r="D615" t="s">
        <v>16</v>
      </c>
      <c r="E615" t="s">
        <v>18</v>
      </c>
      <c r="F615" t="s">
        <v>26</v>
      </c>
      <c r="G615" t="s">
        <v>26</v>
      </c>
      <c r="H615" t="s">
        <v>27</v>
      </c>
      <c r="I615" t="s">
        <v>8</v>
      </c>
      <c r="J615">
        <v>20</v>
      </c>
      <c r="K615">
        <v>3807</v>
      </c>
      <c r="L615">
        <v>76140</v>
      </c>
      <c r="M615">
        <v>52894.52</v>
      </c>
      <c r="N615">
        <v>23245.48</v>
      </c>
      <c r="O615" t="str">
        <f>TEXT(Table1[[#This Row],[Order_Date]],"yyy")</f>
        <v>2024</v>
      </c>
    </row>
    <row r="616" spans="1:15" x14ac:dyDescent="0.3">
      <c r="A616" t="s">
        <v>666</v>
      </c>
      <c r="B616" s="1">
        <v>45887</v>
      </c>
      <c r="C616" t="s">
        <v>3</v>
      </c>
      <c r="D616" t="s">
        <v>25</v>
      </c>
      <c r="E616" t="s">
        <v>4</v>
      </c>
      <c r="F616" t="s">
        <v>32</v>
      </c>
      <c r="G616" t="s">
        <v>32</v>
      </c>
      <c r="H616" t="s">
        <v>14</v>
      </c>
      <c r="I616" t="s">
        <v>15</v>
      </c>
      <c r="J616">
        <v>14</v>
      </c>
      <c r="K616">
        <v>2086</v>
      </c>
      <c r="L616">
        <v>29204</v>
      </c>
      <c r="M616">
        <v>19893.310000000001</v>
      </c>
      <c r="N616">
        <v>9310.69</v>
      </c>
      <c r="O616" t="str">
        <f>TEXT(Table1[[#This Row],[Order_Date]],"yyy")</f>
        <v>2025</v>
      </c>
    </row>
    <row r="617" spans="1:15" x14ac:dyDescent="0.3">
      <c r="A617" t="s">
        <v>667</v>
      </c>
      <c r="B617" s="1">
        <v>45742</v>
      </c>
      <c r="C617" t="s">
        <v>17</v>
      </c>
      <c r="D617" t="s">
        <v>9</v>
      </c>
      <c r="E617" t="s">
        <v>18</v>
      </c>
      <c r="F617" t="s">
        <v>26</v>
      </c>
      <c r="G617" t="s">
        <v>26</v>
      </c>
      <c r="H617" t="s">
        <v>14</v>
      </c>
      <c r="I617" t="s">
        <v>8</v>
      </c>
      <c r="J617">
        <v>10</v>
      </c>
      <c r="K617">
        <v>4985</v>
      </c>
      <c r="L617">
        <v>49850</v>
      </c>
      <c r="M617">
        <v>27535.62</v>
      </c>
      <c r="N617">
        <v>22314.38</v>
      </c>
      <c r="O617" t="str">
        <f>TEXT(Table1[[#This Row],[Order_Date]],"yyy")</f>
        <v>2025</v>
      </c>
    </row>
    <row r="618" spans="1:15" x14ac:dyDescent="0.3">
      <c r="A618" t="s">
        <v>668</v>
      </c>
      <c r="B618" s="1">
        <v>45865</v>
      </c>
      <c r="C618" t="s">
        <v>22</v>
      </c>
      <c r="D618" t="s">
        <v>9</v>
      </c>
      <c r="E618" t="s">
        <v>18</v>
      </c>
      <c r="F618" t="s">
        <v>34</v>
      </c>
      <c r="G618" t="s">
        <v>34</v>
      </c>
      <c r="H618" t="s">
        <v>30</v>
      </c>
      <c r="I618" t="s">
        <v>15</v>
      </c>
      <c r="J618">
        <v>4</v>
      </c>
      <c r="K618">
        <v>4288</v>
      </c>
      <c r="L618">
        <v>17152</v>
      </c>
      <c r="M618">
        <v>11432.38</v>
      </c>
      <c r="N618">
        <v>5719.62</v>
      </c>
      <c r="O618" t="str">
        <f>TEXT(Table1[[#This Row],[Order_Date]],"yyy")</f>
        <v>2025</v>
      </c>
    </row>
    <row r="619" spans="1:15" x14ac:dyDescent="0.3">
      <c r="A619" t="s">
        <v>669</v>
      </c>
      <c r="B619" s="1">
        <v>45780</v>
      </c>
      <c r="C619" t="s">
        <v>22</v>
      </c>
      <c r="D619" t="s">
        <v>16</v>
      </c>
      <c r="E619" t="s">
        <v>4</v>
      </c>
      <c r="F619" t="s">
        <v>32</v>
      </c>
      <c r="G619" t="s">
        <v>32</v>
      </c>
      <c r="H619" t="s">
        <v>24</v>
      </c>
      <c r="I619" t="s">
        <v>8</v>
      </c>
      <c r="J619">
        <v>19</v>
      </c>
      <c r="K619">
        <v>3924</v>
      </c>
      <c r="L619">
        <v>74556</v>
      </c>
      <c r="M619">
        <v>49946.99</v>
      </c>
      <c r="N619">
        <v>24609.01</v>
      </c>
      <c r="O619" t="str">
        <f>TEXT(Table1[[#This Row],[Order_Date]],"yyy")</f>
        <v>2025</v>
      </c>
    </row>
    <row r="620" spans="1:15" x14ac:dyDescent="0.3">
      <c r="A620" t="s">
        <v>670</v>
      </c>
      <c r="B620" s="1">
        <v>45940</v>
      </c>
      <c r="C620" t="s">
        <v>22</v>
      </c>
      <c r="D620" t="s">
        <v>9</v>
      </c>
      <c r="E620" t="s">
        <v>11</v>
      </c>
      <c r="F620" t="s">
        <v>6</v>
      </c>
      <c r="G620" t="s">
        <v>6</v>
      </c>
      <c r="H620" t="s">
        <v>35</v>
      </c>
      <c r="I620" t="s">
        <v>15</v>
      </c>
      <c r="J620">
        <v>14</v>
      </c>
      <c r="K620">
        <v>4443</v>
      </c>
      <c r="L620">
        <v>62202</v>
      </c>
      <c r="M620">
        <v>36720.31</v>
      </c>
      <c r="N620">
        <v>25481.69</v>
      </c>
      <c r="O620" t="str">
        <f>TEXT(Table1[[#This Row],[Order_Date]],"yyy")</f>
        <v>2025</v>
      </c>
    </row>
    <row r="621" spans="1:15" x14ac:dyDescent="0.3">
      <c r="A621" t="s">
        <v>671</v>
      </c>
      <c r="B621" s="1">
        <v>45914</v>
      </c>
      <c r="C621" t="s">
        <v>22</v>
      </c>
      <c r="D621" t="s">
        <v>9</v>
      </c>
      <c r="E621" t="s">
        <v>11</v>
      </c>
      <c r="F621" t="s">
        <v>13</v>
      </c>
      <c r="G621" t="s">
        <v>13</v>
      </c>
      <c r="H621" t="s">
        <v>27</v>
      </c>
      <c r="I621" t="s">
        <v>8</v>
      </c>
      <c r="J621">
        <v>4</v>
      </c>
      <c r="K621">
        <v>3180</v>
      </c>
      <c r="L621">
        <v>12720</v>
      </c>
      <c r="M621">
        <v>8293.43</v>
      </c>
      <c r="N621">
        <v>4426.57</v>
      </c>
      <c r="O621" t="str">
        <f>TEXT(Table1[[#This Row],[Order_Date]],"yyy")</f>
        <v>2025</v>
      </c>
    </row>
    <row r="622" spans="1:15" x14ac:dyDescent="0.3">
      <c r="A622" t="s">
        <v>672</v>
      </c>
      <c r="B622" s="1">
        <v>45350</v>
      </c>
      <c r="C622" t="s">
        <v>17</v>
      </c>
      <c r="D622" t="s">
        <v>9</v>
      </c>
      <c r="E622" t="s">
        <v>4</v>
      </c>
      <c r="F622" t="s">
        <v>32</v>
      </c>
      <c r="G622" t="s">
        <v>32</v>
      </c>
      <c r="H622" t="s">
        <v>27</v>
      </c>
      <c r="I622" t="s">
        <v>15</v>
      </c>
      <c r="J622">
        <v>3</v>
      </c>
      <c r="K622">
        <v>3038</v>
      </c>
      <c r="L622">
        <v>9114</v>
      </c>
      <c r="M622">
        <v>7322.75</v>
      </c>
      <c r="N622">
        <v>1791.25</v>
      </c>
      <c r="O622" t="str">
        <f>TEXT(Table1[[#This Row],[Order_Date]],"yyy")</f>
        <v>2024</v>
      </c>
    </row>
    <row r="623" spans="1:15" x14ac:dyDescent="0.3">
      <c r="A623" t="s">
        <v>673</v>
      </c>
      <c r="B623" s="1">
        <v>45437</v>
      </c>
      <c r="C623" t="s">
        <v>22</v>
      </c>
      <c r="D623" t="s">
        <v>9</v>
      </c>
      <c r="E623" t="s">
        <v>11</v>
      </c>
      <c r="F623" t="s">
        <v>19</v>
      </c>
      <c r="G623" t="s">
        <v>19</v>
      </c>
      <c r="H623" t="s">
        <v>24</v>
      </c>
      <c r="I623" t="s">
        <v>15</v>
      </c>
      <c r="J623">
        <v>1</v>
      </c>
      <c r="K623">
        <v>4854</v>
      </c>
      <c r="L623">
        <v>4854</v>
      </c>
      <c r="M623">
        <v>3075.14</v>
      </c>
      <c r="N623">
        <v>1778.86</v>
      </c>
      <c r="O623" t="str">
        <f>TEXT(Table1[[#This Row],[Order_Date]],"yyy")</f>
        <v>2024</v>
      </c>
    </row>
    <row r="624" spans="1:15" x14ac:dyDescent="0.3">
      <c r="A624" t="s">
        <v>674</v>
      </c>
      <c r="B624" s="1">
        <v>45642</v>
      </c>
      <c r="C624" t="s">
        <v>3</v>
      </c>
      <c r="D624" t="s">
        <v>28</v>
      </c>
      <c r="E624" t="s">
        <v>4</v>
      </c>
      <c r="F624" t="s">
        <v>36</v>
      </c>
      <c r="G624" t="s">
        <v>36</v>
      </c>
      <c r="H624" t="s">
        <v>24</v>
      </c>
      <c r="I624" t="s">
        <v>15</v>
      </c>
      <c r="J624">
        <v>11</v>
      </c>
      <c r="K624">
        <v>2553</v>
      </c>
      <c r="L624">
        <v>28083</v>
      </c>
      <c r="M624">
        <v>19428.849999999999</v>
      </c>
      <c r="N624">
        <v>8654.15</v>
      </c>
      <c r="O624" t="str">
        <f>TEXT(Table1[[#This Row],[Order_Date]],"yyy")</f>
        <v>2024</v>
      </c>
    </row>
    <row r="625" spans="1:15" x14ac:dyDescent="0.3">
      <c r="A625" t="s">
        <v>675</v>
      </c>
      <c r="B625" s="1">
        <v>45663</v>
      </c>
      <c r="C625" t="s">
        <v>17</v>
      </c>
      <c r="D625" t="s">
        <v>21</v>
      </c>
      <c r="E625" t="s">
        <v>4</v>
      </c>
      <c r="F625" t="s">
        <v>23</v>
      </c>
      <c r="G625" t="s">
        <v>23</v>
      </c>
      <c r="H625" t="s">
        <v>24</v>
      </c>
      <c r="I625" t="s">
        <v>15</v>
      </c>
      <c r="J625">
        <v>3</v>
      </c>
      <c r="K625">
        <v>388</v>
      </c>
      <c r="L625">
        <v>1164</v>
      </c>
      <c r="M625">
        <v>921.47</v>
      </c>
      <c r="N625">
        <v>242.53</v>
      </c>
      <c r="O625" t="str">
        <f>TEXT(Table1[[#This Row],[Order_Date]],"yyy")</f>
        <v>2025</v>
      </c>
    </row>
    <row r="626" spans="1:15" x14ac:dyDescent="0.3">
      <c r="A626" t="s">
        <v>676</v>
      </c>
      <c r="B626" s="1">
        <v>45985</v>
      </c>
      <c r="C626" t="s">
        <v>3</v>
      </c>
      <c r="D626" t="s">
        <v>21</v>
      </c>
      <c r="E626" t="s">
        <v>11</v>
      </c>
      <c r="F626" t="s">
        <v>13</v>
      </c>
      <c r="G626" t="s">
        <v>13</v>
      </c>
      <c r="H626" t="s">
        <v>20</v>
      </c>
      <c r="I626" t="s">
        <v>8</v>
      </c>
      <c r="J626">
        <v>6</v>
      </c>
      <c r="K626">
        <v>3423</v>
      </c>
      <c r="L626">
        <v>20538</v>
      </c>
      <c r="M626">
        <v>15823.1</v>
      </c>
      <c r="N626">
        <v>4714.8999999999996</v>
      </c>
      <c r="O626" t="str">
        <f>TEXT(Table1[[#This Row],[Order_Date]],"yyy")</f>
        <v>2025</v>
      </c>
    </row>
    <row r="627" spans="1:15" x14ac:dyDescent="0.3">
      <c r="A627" t="s">
        <v>677</v>
      </c>
      <c r="B627" s="1">
        <v>45437</v>
      </c>
      <c r="C627" t="s">
        <v>17</v>
      </c>
      <c r="D627" t="s">
        <v>9</v>
      </c>
      <c r="E627" t="s">
        <v>18</v>
      </c>
      <c r="F627" t="s">
        <v>34</v>
      </c>
      <c r="G627" t="s">
        <v>34</v>
      </c>
      <c r="H627" t="s">
        <v>33</v>
      </c>
      <c r="I627" t="s">
        <v>8</v>
      </c>
      <c r="J627">
        <v>5</v>
      </c>
      <c r="K627">
        <v>4760</v>
      </c>
      <c r="L627">
        <v>23800</v>
      </c>
      <c r="M627">
        <v>14506.38</v>
      </c>
      <c r="N627">
        <v>9293.6200000000008</v>
      </c>
      <c r="O627" t="str">
        <f>TEXT(Table1[[#This Row],[Order_Date]],"yyy")</f>
        <v>2024</v>
      </c>
    </row>
    <row r="628" spans="1:15" x14ac:dyDescent="0.3">
      <c r="A628" t="s">
        <v>678</v>
      </c>
      <c r="B628" s="1">
        <v>45786</v>
      </c>
      <c r="C628" t="s">
        <v>3</v>
      </c>
      <c r="D628" t="s">
        <v>28</v>
      </c>
      <c r="E628" t="s">
        <v>4</v>
      </c>
      <c r="F628" t="s">
        <v>36</v>
      </c>
      <c r="G628" t="s">
        <v>36</v>
      </c>
      <c r="H628" t="s">
        <v>24</v>
      </c>
      <c r="I628" t="s">
        <v>15</v>
      </c>
      <c r="J628">
        <v>15</v>
      </c>
      <c r="K628">
        <v>3480</v>
      </c>
      <c r="L628">
        <v>52200</v>
      </c>
      <c r="M628">
        <v>28979.01</v>
      </c>
      <c r="N628">
        <v>23220.99</v>
      </c>
      <c r="O628" t="str">
        <f>TEXT(Table1[[#This Row],[Order_Date]],"yyy")</f>
        <v>2025</v>
      </c>
    </row>
    <row r="629" spans="1:15" x14ac:dyDescent="0.3">
      <c r="A629" t="s">
        <v>679</v>
      </c>
      <c r="B629" s="1">
        <v>45331</v>
      </c>
      <c r="C629" t="s">
        <v>10</v>
      </c>
      <c r="D629" t="s">
        <v>16</v>
      </c>
      <c r="E629" t="s">
        <v>18</v>
      </c>
      <c r="F629" t="s">
        <v>34</v>
      </c>
      <c r="G629" t="s">
        <v>34</v>
      </c>
      <c r="H629" t="s">
        <v>35</v>
      </c>
      <c r="I629" t="s">
        <v>15</v>
      </c>
      <c r="J629">
        <v>16</v>
      </c>
      <c r="K629">
        <v>4572</v>
      </c>
      <c r="L629">
        <v>73152</v>
      </c>
      <c r="M629">
        <v>58727.83</v>
      </c>
      <c r="N629">
        <v>14424.17</v>
      </c>
      <c r="O629" t="str">
        <f>TEXT(Table1[[#This Row],[Order_Date]],"yyy")</f>
        <v>2024</v>
      </c>
    </row>
    <row r="630" spans="1:15" x14ac:dyDescent="0.3">
      <c r="A630" t="s">
        <v>680</v>
      </c>
      <c r="B630" s="1">
        <v>45399</v>
      </c>
      <c r="C630" t="s">
        <v>10</v>
      </c>
      <c r="D630" t="s">
        <v>16</v>
      </c>
      <c r="E630" t="s">
        <v>18</v>
      </c>
      <c r="F630" t="s">
        <v>26</v>
      </c>
      <c r="G630" t="s">
        <v>26</v>
      </c>
      <c r="H630" t="s">
        <v>35</v>
      </c>
      <c r="I630" t="s">
        <v>8</v>
      </c>
      <c r="J630">
        <v>8</v>
      </c>
      <c r="K630">
        <v>543</v>
      </c>
      <c r="L630">
        <v>4344</v>
      </c>
      <c r="M630">
        <v>3625.38</v>
      </c>
      <c r="N630">
        <v>718.62</v>
      </c>
      <c r="O630" t="str">
        <f>TEXT(Table1[[#This Row],[Order_Date]],"yyy")</f>
        <v>2024</v>
      </c>
    </row>
    <row r="631" spans="1:15" x14ac:dyDescent="0.3">
      <c r="A631" t="s">
        <v>681</v>
      </c>
      <c r="B631" s="1">
        <v>45557</v>
      </c>
      <c r="C631" t="s">
        <v>3</v>
      </c>
      <c r="D631" t="s">
        <v>16</v>
      </c>
      <c r="E631" t="s">
        <v>18</v>
      </c>
      <c r="F631" t="s">
        <v>26</v>
      </c>
      <c r="G631" t="s">
        <v>26</v>
      </c>
      <c r="H631" t="s">
        <v>20</v>
      </c>
      <c r="I631" t="s">
        <v>15</v>
      </c>
      <c r="J631">
        <v>5</v>
      </c>
      <c r="K631">
        <v>2120</v>
      </c>
      <c r="L631">
        <v>10600</v>
      </c>
      <c r="M631">
        <v>8964.52</v>
      </c>
      <c r="N631">
        <v>1635.48</v>
      </c>
      <c r="O631" t="str">
        <f>TEXT(Table1[[#This Row],[Order_Date]],"yyy")</f>
        <v>2024</v>
      </c>
    </row>
    <row r="632" spans="1:15" x14ac:dyDescent="0.3">
      <c r="A632" t="s">
        <v>682</v>
      </c>
      <c r="B632" s="1">
        <v>45428</v>
      </c>
      <c r="C632" t="s">
        <v>17</v>
      </c>
      <c r="D632" t="s">
        <v>9</v>
      </c>
      <c r="E632" t="s">
        <v>11</v>
      </c>
      <c r="F632" t="s">
        <v>13</v>
      </c>
      <c r="G632" t="s">
        <v>13</v>
      </c>
      <c r="H632" t="s">
        <v>20</v>
      </c>
      <c r="I632" t="s">
        <v>8</v>
      </c>
      <c r="J632">
        <v>18</v>
      </c>
      <c r="K632">
        <v>4151</v>
      </c>
      <c r="L632">
        <v>74718</v>
      </c>
      <c r="M632">
        <v>61273.94</v>
      </c>
      <c r="N632">
        <v>13444.06</v>
      </c>
      <c r="O632" t="str">
        <f>TEXT(Table1[[#This Row],[Order_Date]],"yyy")</f>
        <v>2024</v>
      </c>
    </row>
    <row r="633" spans="1:15" x14ac:dyDescent="0.3">
      <c r="A633" t="s">
        <v>683</v>
      </c>
      <c r="B633" s="1">
        <v>46011</v>
      </c>
      <c r="C633" t="s">
        <v>17</v>
      </c>
      <c r="D633" t="s">
        <v>25</v>
      </c>
      <c r="E633" t="s">
        <v>4</v>
      </c>
      <c r="F633" t="s">
        <v>23</v>
      </c>
      <c r="G633" t="s">
        <v>23</v>
      </c>
      <c r="H633" t="s">
        <v>27</v>
      </c>
      <c r="I633" t="s">
        <v>15</v>
      </c>
      <c r="J633">
        <v>15</v>
      </c>
      <c r="K633">
        <v>3346</v>
      </c>
      <c r="L633">
        <v>50190</v>
      </c>
      <c r="M633">
        <v>41315.760000000002</v>
      </c>
      <c r="N633">
        <v>8874.24</v>
      </c>
      <c r="O633" t="str">
        <f>TEXT(Table1[[#This Row],[Order_Date]],"yyy")</f>
        <v>2025</v>
      </c>
    </row>
    <row r="634" spans="1:15" x14ac:dyDescent="0.3">
      <c r="A634" t="s">
        <v>684</v>
      </c>
      <c r="B634" s="1">
        <v>45745</v>
      </c>
      <c r="C634" t="s">
        <v>10</v>
      </c>
      <c r="D634" t="s">
        <v>25</v>
      </c>
      <c r="E634" t="s">
        <v>11</v>
      </c>
      <c r="F634" t="s">
        <v>13</v>
      </c>
      <c r="G634" t="s">
        <v>13</v>
      </c>
      <c r="H634" t="s">
        <v>27</v>
      </c>
      <c r="I634" t="s">
        <v>15</v>
      </c>
      <c r="J634">
        <v>10</v>
      </c>
      <c r="K634">
        <v>3048</v>
      </c>
      <c r="L634">
        <v>30480</v>
      </c>
      <c r="M634">
        <v>22205.75</v>
      </c>
      <c r="N634">
        <v>8274.25</v>
      </c>
      <c r="O634" t="str">
        <f>TEXT(Table1[[#This Row],[Order_Date]],"yyy")</f>
        <v>2025</v>
      </c>
    </row>
    <row r="635" spans="1:15" x14ac:dyDescent="0.3">
      <c r="A635" t="s">
        <v>685</v>
      </c>
      <c r="B635" s="1">
        <v>45445</v>
      </c>
      <c r="C635" t="s">
        <v>3</v>
      </c>
      <c r="D635" t="s">
        <v>31</v>
      </c>
      <c r="E635" t="s">
        <v>11</v>
      </c>
      <c r="F635" t="s">
        <v>6</v>
      </c>
      <c r="G635" t="s">
        <v>6</v>
      </c>
      <c r="H635" t="s">
        <v>30</v>
      </c>
      <c r="I635" t="s">
        <v>15</v>
      </c>
      <c r="J635">
        <v>17</v>
      </c>
      <c r="K635">
        <v>4565</v>
      </c>
      <c r="L635">
        <v>77605</v>
      </c>
      <c r="M635">
        <v>63232.01</v>
      </c>
      <c r="N635">
        <v>14372.99</v>
      </c>
      <c r="O635" t="str">
        <f>TEXT(Table1[[#This Row],[Order_Date]],"yyy")</f>
        <v>2024</v>
      </c>
    </row>
    <row r="636" spans="1:15" x14ac:dyDescent="0.3">
      <c r="A636" t="s">
        <v>686</v>
      </c>
      <c r="B636" s="1">
        <v>46008</v>
      </c>
      <c r="C636" t="s">
        <v>17</v>
      </c>
      <c r="D636" t="s">
        <v>28</v>
      </c>
      <c r="E636" t="s">
        <v>18</v>
      </c>
      <c r="F636" t="s">
        <v>29</v>
      </c>
      <c r="G636" t="s">
        <v>29</v>
      </c>
      <c r="H636" t="s">
        <v>20</v>
      </c>
      <c r="I636" t="s">
        <v>15</v>
      </c>
      <c r="J636">
        <v>3</v>
      </c>
      <c r="K636">
        <v>927</v>
      </c>
      <c r="L636">
        <v>2781</v>
      </c>
      <c r="M636">
        <v>1794.14</v>
      </c>
      <c r="N636">
        <v>986.86</v>
      </c>
      <c r="O636" t="str">
        <f>TEXT(Table1[[#This Row],[Order_Date]],"yyy")</f>
        <v>2025</v>
      </c>
    </row>
    <row r="637" spans="1:15" x14ac:dyDescent="0.3">
      <c r="A637" t="s">
        <v>687</v>
      </c>
      <c r="B637" s="1">
        <v>45425</v>
      </c>
      <c r="C637" t="s">
        <v>10</v>
      </c>
      <c r="D637" t="s">
        <v>16</v>
      </c>
      <c r="E637" t="s">
        <v>11</v>
      </c>
      <c r="F637" t="s">
        <v>19</v>
      </c>
      <c r="G637" t="s">
        <v>19</v>
      </c>
      <c r="H637" t="s">
        <v>7</v>
      </c>
      <c r="I637" t="s">
        <v>15</v>
      </c>
      <c r="J637">
        <v>1</v>
      </c>
      <c r="K637">
        <v>4198</v>
      </c>
      <c r="L637">
        <v>4198</v>
      </c>
      <c r="M637">
        <v>2534.09</v>
      </c>
      <c r="N637">
        <v>1663.91</v>
      </c>
      <c r="O637" t="str">
        <f>TEXT(Table1[[#This Row],[Order_Date]],"yyy")</f>
        <v>2024</v>
      </c>
    </row>
    <row r="638" spans="1:15" x14ac:dyDescent="0.3">
      <c r="A638" t="s">
        <v>688</v>
      </c>
      <c r="B638" s="1">
        <v>45806</v>
      </c>
      <c r="C638" t="s">
        <v>22</v>
      </c>
      <c r="D638" t="s">
        <v>16</v>
      </c>
      <c r="E638" t="s">
        <v>18</v>
      </c>
      <c r="F638" t="s">
        <v>26</v>
      </c>
      <c r="G638" t="s">
        <v>26</v>
      </c>
      <c r="H638" t="s">
        <v>30</v>
      </c>
      <c r="I638" t="s">
        <v>8</v>
      </c>
      <c r="J638">
        <v>4</v>
      </c>
      <c r="K638">
        <v>1294</v>
      </c>
      <c r="L638">
        <v>5176</v>
      </c>
      <c r="M638">
        <v>3785.88</v>
      </c>
      <c r="N638">
        <v>1390.12</v>
      </c>
      <c r="O638" t="str">
        <f>TEXT(Table1[[#This Row],[Order_Date]],"yyy")</f>
        <v>2025</v>
      </c>
    </row>
    <row r="639" spans="1:15" x14ac:dyDescent="0.3">
      <c r="A639" t="s">
        <v>689</v>
      </c>
      <c r="B639" s="1">
        <v>45503</v>
      </c>
      <c r="C639" t="s">
        <v>10</v>
      </c>
      <c r="D639" t="s">
        <v>31</v>
      </c>
      <c r="E639" t="s">
        <v>11</v>
      </c>
      <c r="F639" t="s">
        <v>19</v>
      </c>
      <c r="G639" t="s">
        <v>19</v>
      </c>
      <c r="H639" t="s">
        <v>14</v>
      </c>
      <c r="I639" t="s">
        <v>15</v>
      </c>
      <c r="J639">
        <v>20</v>
      </c>
      <c r="K639">
        <v>4198</v>
      </c>
      <c r="L639">
        <v>83960</v>
      </c>
      <c r="M639">
        <v>68141.88</v>
      </c>
      <c r="N639">
        <v>15818.12</v>
      </c>
      <c r="O639" t="str">
        <f>TEXT(Table1[[#This Row],[Order_Date]],"yyy")</f>
        <v>2024</v>
      </c>
    </row>
    <row r="640" spans="1:15" x14ac:dyDescent="0.3">
      <c r="A640" t="s">
        <v>690</v>
      </c>
      <c r="B640" s="1">
        <v>45487</v>
      </c>
      <c r="C640" t="s">
        <v>22</v>
      </c>
      <c r="D640" t="s">
        <v>21</v>
      </c>
      <c r="E640" t="s">
        <v>11</v>
      </c>
      <c r="F640" t="s">
        <v>13</v>
      </c>
      <c r="G640" t="s">
        <v>13</v>
      </c>
      <c r="H640" t="s">
        <v>33</v>
      </c>
      <c r="I640" t="s">
        <v>8</v>
      </c>
      <c r="J640">
        <v>10</v>
      </c>
      <c r="K640">
        <v>3064</v>
      </c>
      <c r="L640">
        <v>30640</v>
      </c>
      <c r="M640">
        <v>23445.17</v>
      </c>
      <c r="N640">
        <v>7194.83</v>
      </c>
      <c r="O640" t="str">
        <f>TEXT(Table1[[#This Row],[Order_Date]],"yyy")</f>
        <v>2024</v>
      </c>
    </row>
    <row r="641" spans="1:15" x14ac:dyDescent="0.3">
      <c r="A641" t="s">
        <v>691</v>
      </c>
      <c r="B641" s="1">
        <v>45950</v>
      </c>
      <c r="C641" t="s">
        <v>22</v>
      </c>
      <c r="D641" t="s">
        <v>21</v>
      </c>
      <c r="E641" t="s">
        <v>18</v>
      </c>
      <c r="F641" t="s">
        <v>34</v>
      </c>
      <c r="G641" t="s">
        <v>34</v>
      </c>
      <c r="H641" t="s">
        <v>35</v>
      </c>
      <c r="I641" t="s">
        <v>8</v>
      </c>
      <c r="J641">
        <v>6</v>
      </c>
      <c r="K641">
        <v>1671</v>
      </c>
      <c r="L641">
        <v>10026</v>
      </c>
      <c r="M641">
        <v>7458.48</v>
      </c>
      <c r="N641">
        <v>2567.52</v>
      </c>
      <c r="O641" t="str">
        <f>TEXT(Table1[[#This Row],[Order_Date]],"yyy")</f>
        <v>2025</v>
      </c>
    </row>
    <row r="642" spans="1:15" x14ac:dyDescent="0.3">
      <c r="A642" t="s">
        <v>692</v>
      </c>
      <c r="B642" s="1">
        <v>45840</v>
      </c>
      <c r="C642" t="s">
        <v>10</v>
      </c>
      <c r="D642" t="s">
        <v>28</v>
      </c>
      <c r="E642" t="s">
        <v>4</v>
      </c>
      <c r="F642" t="s">
        <v>36</v>
      </c>
      <c r="G642" t="s">
        <v>36</v>
      </c>
      <c r="H642" t="s">
        <v>24</v>
      </c>
      <c r="I642" t="s">
        <v>8</v>
      </c>
      <c r="J642">
        <v>8</v>
      </c>
      <c r="K642">
        <v>3835</v>
      </c>
      <c r="L642">
        <v>30680</v>
      </c>
      <c r="M642">
        <v>21480.11</v>
      </c>
      <c r="N642">
        <v>9199.89</v>
      </c>
      <c r="O642" t="str">
        <f>TEXT(Table1[[#This Row],[Order_Date]],"yyy")</f>
        <v>2025</v>
      </c>
    </row>
    <row r="643" spans="1:15" x14ac:dyDescent="0.3">
      <c r="A643" t="s">
        <v>693</v>
      </c>
      <c r="B643" s="1">
        <v>45811</v>
      </c>
      <c r="C643" t="s">
        <v>3</v>
      </c>
      <c r="D643" t="s">
        <v>25</v>
      </c>
      <c r="E643" t="s">
        <v>18</v>
      </c>
      <c r="F643" t="s">
        <v>34</v>
      </c>
      <c r="G643" t="s">
        <v>34</v>
      </c>
      <c r="H643" t="s">
        <v>35</v>
      </c>
      <c r="I643" t="s">
        <v>15</v>
      </c>
      <c r="J643">
        <v>19</v>
      </c>
      <c r="K643">
        <v>990</v>
      </c>
      <c r="L643">
        <v>18810</v>
      </c>
      <c r="M643">
        <v>10884.67</v>
      </c>
      <c r="N643">
        <v>7925.33</v>
      </c>
      <c r="O643" t="str">
        <f>TEXT(Table1[[#This Row],[Order_Date]],"yyy")</f>
        <v>2025</v>
      </c>
    </row>
    <row r="644" spans="1:15" x14ac:dyDescent="0.3">
      <c r="A644" t="s">
        <v>694</v>
      </c>
      <c r="B644" s="1">
        <v>45490</v>
      </c>
      <c r="C644" t="s">
        <v>3</v>
      </c>
      <c r="D644" t="s">
        <v>9</v>
      </c>
      <c r="E644" t="s">
        <v>18</v>
      </c>
      <c r="F644" t="s">
        <v>29</v>
      </c>
      <c r="G644" t="s">
        <v>29</v>
      </c>
      <c r="H644" t="s">
        <v>7</v>
      </c>
      <c r="I644" t="s">
        <v>15</v>
      </c>
      <c r="J644">
        <v>3</v>
      </c>
      <c r="K644">
        <v>886</v>
      </c>
      <c r="L644">
        <v>2658</v>
      </c>
      <c r="M644">
        <v>2180.66</v>
      </c>
      <c r="N644">
        <v>477.34</v>
      </c>
      <c r="O644" t="str">
        <f>TEXT(Table1[[#This Row],[Order_Date]],"yyy")</f>
        <v>2024</v>
      </c>
    </row>
    <row r="645" spans="1:15" x14ac:dyDescent="0.3">
      <c r="A645" t="s">
        <v>695</v>
      </c>
      <c r="B645" s="1">
        <v>45378</v>
      </c>
      <c r="C645" t="s">
        <v>22</v>
      </c>
      <c r="D645" t="s">
        <v>16</v>
      </c>
      <c r="E645" t="s">
        <v>11</v>
      </c>
      <c r="F645" t="s">
        <v>19</v>
      </c>
      <c r="G645" t="s">
        <v>19</v>
      </c>
      <c r="H645" t="s">
        <v>14</v>
      </c>
      <c r="I645" t="s">
        <v>15</v>
      </c>
      <c r="J645">
        <v>18</v>
      </c>
      <c r="K645">
        <v>2681</v>
      </c>
      <c r="L645">
        <v>48258</v>
      </c>
      <c r="M645">
        <v>29236.73</v>
      </c>
      <c r="N645">
        <v>19021.27</v>
      </c>
      <c r="O645" t="str">
        <f>TEXT(Table1[[#This Row],[Order_Date]],"yyy")</f>
        <v>2024</v>
      </c>
    </row>
    <row r="646" spans="1:15" x14ac:dyDescent="0.3">
      <c r="A646" t="s">
        <v>696</v>
      </c>
      <c r="B646" s="1">
        <v>45843</v>
      </c>
      <c r="C646" t="s">
        <v>10</v>
      </c>
      <c r="D646" t="s">
        <v>25</v>
      </c>
      <c r="E646" t="s">
        <v>18</v>
      </c>
      <c r="F646" t="s">
        <v>29</v>
      </c>
      <c r="G646" t="s">
        <v>29</v>
      </c>
      <c r="H646" t="s">
        <v>24</v>
      </c>
      <c r="I646" t="s">
        <v>15</v>
      </c>
      <c r="J646">
        <v>7</v>
      </c>
      <c r="K646">
        <v>4861</v>
      </c>
      <c r="L646">
        <v>34027</v>
      </c>
      <c r="M646">
        <v>20099.93</v>
      </c>
      <c r="N646">
        <v>13927.07</v>
      </c>
      <c r="O646" t="str">
        <f>TEXT(Table1[[#This Row],[Order_Date]],"yyy")</f>
        <v>2025</v>
      </c>
    </row>
    <row r="647" spans="1:15" x14ac:dyDescent="0.3">
      <c r="A647" t="s">
        <v>697</v>
      </c>
      <c r="B647" s="1">
        <v>45969</v>
      </c>
      <c r="C647" t="s">
        <v>10</v>
      </c>
      <c r="D647" t="s">
        <v>25</v>
      </c>
      <c r="E647" t="s">
        <v>11</v>
      </c>
      <c r="F647" t="s">
        <v>13</v>
      </c>
      <c r="G647" t="s">
        <v>13</v>
      </c>
      <c r="H647" t="s">
        <v>35</v>
      </c>
      <c r="I647" t="s">
        <v>15</v>
      </c>
      <c r="J647">
        <v>8</v>
      </c>
      <c r="K647">
        <v>2968</v>
      </c>
      <c r="L647">
        <v>23744</v>
      </c>
      <c r="M647">
        <v>15209.15</v>
      </c>
      <c r="N647">
        <v>8534.85</v>
      </c>
      <c r="O647" t="str">
        <f>TEXT(Table1[[#This Row],[Order_Date]],"yyy")</f>
        <v>2025</v>
      </c>
    </row>
    <row r="648" spans="1:15" x14ac:dyDescent="0.3">
      <c r="A648" t="s">
        <v>698</v>
      </c>
      <c r="B648" s="1">
        <v>45341</v>
      </c>
      <c r="C648" t="s">
        <v>10</v>
      </c>
      <c r="D648" t="s">
        <v>25</v>
      </c>
      <c r="E648" t="s">
        <v>4</v>
      </c>
      <c r="F648" t="s">
        <v>32</v>
      </c>
      <c r="G648" t="s">
        <v>32</v>
      </c>
      <c r="H648" t="s">
        <v>14</v>
      </c>
      <c r="I648" t="s">
        <v>8</v>
      </c>
      <c r="J648">
        <v>12</v>
      </c>
      <c r="K648">
        <v>1681</v>
      </c>
      <c r="L648">
        <v>20172</v>
      </c>
      <c r="M648">
        <v>11526.68</v>
      </c>
      <c r="N648">
        <v>8645.32</v>
      </c>
      <c r="O648" t="str">
        <f>TEXT(Table1[[#This Row],[Order_Date]],"yyy")</f>
        <v>2024</v>
      </c>
    </row>
    <row r="649" spans="1:15" x14ac:dyDescent="0.3">
      <c r="A649" t="s">
        <v>699</v>
      </c>
      <c r="B649" s="1">
        <v>45783</v>
      </c>
      <c r="C649" t="s">
        <v>22</v>
      </c>
      <c r="D649" t="s">
        <v>16</v>
      </c>
      <c r="E649" t="s">
        <v>4</v>
      </c>
      <c r="F649" t="s">
        <v>23</v>
      </c>
      <c r="G649" t="s">
        <v>23</v>
      </c>
      <c r="H649" t="s">
        <v>20</v>
      </c>
      <c r="I649" t="s">
        <v>8</v>
      </c>
      <c r="J649">
        <v>4</v>
      </c>
      <c r="K649">
        <v>561</v>
      </c>
      <c r="L649">
        <v>2244</v>
      </c>
      <c r="M649">
        <v>1661.97</v>
      </c>
      <c r="N649">
        <v>582.03</v>
      </c>
      <c r="O649" t="str">
        <f>TEXT(Table1[[#This Row],[Order_Date]],"yyy")</f>
        <v>2025</v>
      </c>
    </row>
    <row r="650" spans="1:15" x14ac:dyDescent="0.3">
      <c r="A650" t="s">
        <v>700</v>
      </c>
      <c r="B650" s="1">
        <v>45421</v>
      </c>
      <c r="C650" t="s">
        <v>3</v>
      </c>
      <c r="D650" t="s">
        <v>28</v>
      </c>
      <c r="E650" t="s">
        <v>11</v>
      </c>
      <c r="F650" t="s">
        <v>13</v>
      </c>
      <c r="G650" t="s">
        <v>13</v>
      </c>
      <c r="H650" t="s">
        <v>33</v>
      </c>
      <c r="I650" t="s">
        <v>8</v>
      </c>
      <c r="J650">
        <v>20</v>
      </c>
      <c r="K650">
        <v>1238</v>
      </c>
      <c r="L650">
        <v>24760</v>
      </c>
      <c r="M650">
        <v>18192.03</v>
      </c>
      <c r="N650">
        <v>6567.97</v>
      </c>
      <c r="O650" t="str">
        <f>TEXT(Table1[[#This Row],[Order_Date]],"yyy")</f>
        <v>2024</v>
      </c>
    </row>
    <row r="651" spans="1:15" x14ac:dyDescent="0.3">
      <c r="A651" t="s">
        <v>701</v>
      </c>
      <c r="B651" s="1">
        <v>45483</v>
      </c>
      <c r="C651" t="s">
        <v>17</v>
      </c>
      <c r="D651" t="s">
        <v>16</v>
      </c>
      <c r="E651" t="s">
        <v>18</v>
      </c>
      <c r="F651" t="s">
        <v>26</v>
      </c>
      <c r="G651" t="s">
        <v>26</v>
      </c>
      <c r="H651" t="s">
        <v>24</v>
      </c>
      <c r="I651" t="s">
        <v>8</v>
      </c>
      <c r="J651">
        <v>14</v>
      </c>
      <c r="K651">
        <v>3651</v>
      </c>
      <c r="L651">
        <v>51114</v>
      </c>
      <c r="M651">
        <v>38989.9</v>
      </c>
      <c r="N651">
        <v>12124.1</v>
      </c>
      <c r="O651" t="str">
        <f>TEXT(Table1[[#This Row],[Order_Date]],"yyy")</f>
        <v>2024</v>
      </c>
    </row>
    <row r="652" spans="1:15" x14ac:dyDescent="0.3">
      <c r="A652" t="s">
        <v>702</v>
      </c>
      <c r="B652" s="1">
        <v>45316</v>
      </c>
      <c r="C652" t="s">
        <v>3</v>
      </c>
      <c r="D652" t="s">
        <v>25</v>
      </c>
      <c r="E652" t="s">
        <v>18</v>
      </c>
      <c r="F652" t="s">
        <v>26</v>
      </c>
      <c r="G652" t="s">
        <v>26</v>
      </c>
      <c r="H652" t="s">
        <v>24</v>
      </c>
      <c r="I652" t="s">
        <v>8</v>
      </c>
      <c r="J652">
        <v>5</v>
      </c>
      <c r="K652">
        <v>4073</v>
      </c>
      <c r="L652">
        <v>20365</v>
      </c>
      <c r="M652">
        <v>13619.78</v>
      </c>
      <c r="N652">
        <v>6745.22</v>
      </c>
      <c r="O652" t="str">
        <f>TEXT(Table1[[#This Row],[Order_Date]],"yyy")</f>
        <v>2024</v>
      </c>
    </row>
    <row r="653" spans="1:15" x14ac:dyDescent="0.3">
      <c r="A653" t="s">
        <v>703</v>
      </c>
      <c r="B653" s="1">
        <v>45744</v>
      </c>
      <c r="C653" t="s">
        <v>22</v>
      </c>
      <c r="D653" t="s">
        <v>9</v>
      </c>
      <c r="E653" t="s">
        <v>11</v>
      </c>
      <c r="F653" t="s">
        <v>19</v>
      </c>
      <c r="G653" t="s">
        <v>19</v>
      </c>
      <c r="H653" t="s">
        <v>14</v>
      </c>
      <c r="I653" t="s">
        <v>8</v>
      </c>
      <c r="J653">
        <v>4</v>
      </c>
      <c r="K653">
        <v>1838</v>
      </c>
      <c r="L653">
        <v>7352</v>
      </c>
      <c r="M653">
        <v>4733.92</v>
      </c>
      <c r="N653">
        <v>2618.08</v>
      </c>
      <c r="O653" t="str">
        <f>TEXT(Table1[[#This Row],[Order_Date]],"yyy")</f>
        <v>2025</v>
      </c>
    </row>
    <row r="654" spans="1:15" x14ac:dyDescent="0.3">
      <c r="A654" t="s">
        <v>704</v>
      </c>
      <c r="B654" s="1">
        <v>45807</v>
      </c>
      <c r="C654" t="s">
        <v>3</v>
      </c>
      <c r="D654" t="s">
        <v>21</v>
      </c>
      <c r="E654" t="s">
        <v>11</v>
      </c>
      <c r="F654" t="s">
        <v>6</v>
      </c>
      <c r="G654" t="s">
        <v>6</v>
      </c>
      <c r="H654" t="s">
        <v>7</v>
      </c>
      <c r="I654" t="s">
        <v>15</v>
      </c>
      <c r="J654">
        <v>14</v>
      </c>
      <c r="K654">
        <v>3363</v>
      </c>
      <c r="L654">
        <v>47082</v>
      </c>
      <c r="M654">
        <v>31927.67</v>
      </c>
      <c r="N654">
        <v>15154.33</v>
      </c>
      <c r="O654" t="str">
        <f>TEXT(Table1[[#This Row],[Order_Date]],"yyy")</f>
        <v>2025</v>
      </c>
    </row>
    <row r="655" spans="1:15" x14ac:dyDescent="0.3">
      <c r="A655" t="s">
        <v>705</v>
      </c>
      <c r="B655" s="1">
        <v>45308</v>
      </c>
      <c r="C655" t="s">
        <v>3</v>
      </c>
      <c r="D655" t="s">
        <v>21</v>
      </c>
      <c r="E655" t="s">
        <v>4</v>
      </c>
      <c r="F655" t="s">
        <v>32</v>
      </c>
      <c r="G655" t="s">
        <v>32</v>
      </c>
      <c r="H655" t="s">
        <v>14</v>
      </c>
      <c r="I655" t="s">
        <v>15</v>
      </c>
      <c r="J655">
        <v>4</v>
      </c>
      <c r="K655">
        <v>2721</v>
      </c>
      <c r="L655">
        <v>10884</v>
      </c>
      <c r="M655">
        <v>8180.34</v>
      </c>
      <c r="N655">
        <v>2703.66</v>
      </c>
      <c r="O655" t="str">
        <f>TEXT(Table1[[#This Row],[Order_Date]],"yyy")</f>
        <v>2024</v>
      </c>
    </row>
    <row r="656" spans="1:15" x14ac:dyDescent="0.3">
      <c r="A656" t="s">
        <v>706</v>
      </c>
      <c r="B656" s="1">
        <v>45805</v>
      </c>
      <c r="C656" t="s">
        <v>22</v>
      </c>
      <c r="D656" t="s">
        <v>21</v>
      </c>
      <c r="E656" t="s">
        <v>11</v>
      </c>
      <c r="F656" t="s">
        <v>6</v>
      </c>
      <c r="G656" t="s">
        <v>6</v>
      </c>
      <c r="H656" t="s">
        <v>35</v>
      </c>
      <c r="I656" t="s">
        <v>8</v>
      </c>
      <c r="J656">
        <v>17</v>
      </c>
      <c r="K656">
        <v>2745</v>
      </c>
      <c r="L656">
        <v>46665</v>
      </c>
      <c r="M656">
        <v>33947.81</v>
      </c>
      <c r="N656">
        <v>12717.19</v>
      </c>
      <c r="O656" t="str">
        <f>TEXT(Table1[[#This Row],[Order_Date]],"yyy")</f>
        <v>2025</v>
      </c>
    </row>
    <row r="657" spans="1:15" x14ac:dyDescent="0.3">
      <c r="A657" t="s">
        <v>707</v>
      </c>
      <c r="B657" s="1">
        <v>45658</v>
      </c>
      <c r="C657" t="s">
        <v>22</v>
      </c>
      <c r="D657" t="s">
        <v>31</v>
      </c>
      <c r="E657" t="s">
        <v>4</v>
      </c>
      <c r="F657" t="s">
        <v>23</v>
      </c>
      <c r="G657" t="s">
        <v>23</v>
      </c>
      <c r="H657" t="s">
        <v>27</v>
      </c>
      <c r="I657" t="s">
        <v>15</v>
      </c>
      <c r="J657">
        <v>5</v>
      </c>
      <c r="K657">
        <v>1477</v>
      </c>
      <c r="L657">
        <v>7385</v>
      </c>
      <c r="M657">
        <v>5978.37</v>
      </c>
      <c r="N657">
        <v>1406.63</v>
      </c>
      <c r="O657" t="str">
        <f>TEXT(Table1[[#This Row],[Order_Date]],"yyy")</f>
        <v>2025</v>
      </c>
    </row>
    <row r="658" spans="1:15" x14ac:dyDescent="0.3">
      <c r="A658" t="s">
        <v>708</v>
      </c>
      <c r="B658" s="1">
        <v>45955</v>
      </c>
      <c r="C658" t="s">
        <v>22</v>
      </c>
      <c r="D658" t="s">
        <v>21</v>
      </c>
      <c r="E658" t="s">
        <v>11</v>
      </c>
      <c r="F658" t="s">
        <v>6</v>
      </c>
      <c r="G658" t="s">
        <v>6</v>
      </c>
      <c r="H658" t="s">
        <v>14</v>
      </c>
      <c r="I658" t="s">
        <v>15</v>
      </c>
      <c r="J658">
        <v>12</v>
      </c>
      <c r="K658">
        <v>4849</v>
      </c>
      <c r="L658">
        <v>58188</v>
      </c>
      <c r="M658">
        <v>35150.14</v>
      </c>
      <c r="N658">
        <v>23037.86</v>
      </c>
      <c r="O658" t="str">
        <f>TEXT(Table1[[#This Row],[Order_Date]],"yyy")</f>
        <v>2025</v>
      </c>
    </row>
    <row r="659" spans="1:15" x14ac:dyDescent="0.3">
      <c r="A659" t="s">
        <v>709</v>
      </c>
      <c r="B659" s="1">
        <v>45755</v>
      </c>
      <c r="C659" t="s">
        <v>3</v>
      </c>
      <c r="D659" t="s">
        <v>21</v>
      </c>
      <c r="E659" t="s">
        <v>11</v>
      </c>
      <c r="F659" t="s">
        <v>19</v>
      </c>
      <c r="G659" t="s">
        <v>19</v>
      </c>
      <c r="H659" t="s">
        <v>30</v>
      </c>
      <c r="I659" t="s">
        <v>15</v>
      </c>
      <c r="J659">
        <v>15</v>
      </c>
      <c r="K659">
        <v>3067</v>
      </c>
      <c r="L659">
        <v>46005</v>
      </c>
      <c r="M659">
        <v>35735.360000000001</v>
      </c>
      <c r="N659">
        <v>10269.64</v>
      </c>
      <c r="O659" t="str">
        <f>TEXT(Table1[[#This Row],[Order_Date]],"yyy")</f>
        <v>2025</v>
      </c>
    </row>
    <row r="660" spans="1:15" x14ac:dyDescent="0.3">
      <c r="A660" t="s">
        <v>710</v>
      </c>
      <c r="B660" s="1">
        <v>45960</v>
      </c>
      <c r="C660" t="s">
        <v>10</v>
      </c>
      <c r="D660" t="s">
        <v>31</v>
      </c>
      <c r="E660" t="s">
        <v>11</v>
      </c>
      <c r="F660" t="s">
        <v>13</v>
      </c>
      <c r="G660" t="s">
        <v>13</v>
      </c>
      <c r="H660" t="s">
        <v>30</v>
      </c>
      <c r="I660" t="s">
        <v>15</v>
      </c>
      <c r="J660">
        <v>2</v>
      </c>
      <c r="K660">
        <v>3810</v>
      </c>
      <c r="L660">
        <v>7620</v>
      </c>
      <c r="M660">
        <v>5677.68</v>
      </c>
      <c r="N660">
        <v>1942.32</v>
      </c>
      <c r="O660" t="str">
        <f>TEXT(Table1[[#This Row],[Order_Date]],"yyy")</f>
        <v>2025</v>
      </c>
    </row>
    <row r="661" spans="1:15" x14ac:dyDescent="0.3">
      <c r="A661" t="s">
        <v>711</v>
      </c>
      <c r="B661" s="1">
        <v>45732</v>
      </c>
      <c r="C661" t="s">
        <v>10</v>
      </c>
      <c r="D661" t="s">
        <v>9</v>
      </c>
      <c r="E661" t="s">
        <v>4</v>
      </c>
      <c r="F661" t="s">
        <v>23</v>
      </c>
      <c r="G661" t="s">
        <v>23</v>
      </c>
      <c r="H661" t="s">
        <v>33</v>
      </c>
      <c r="I661" t="s">
        <v>15</v>
      </c>
      <c r="J661">
        <v>19</v>
      </c>
      <c r="K661">
        <v>2161</v>
      </c>
      <c r="L661">
        <v>41059</v>
      </c>
      <c r="M661">
        <v>29950.36</v>
      </c>
      <c r="N661">
        <v>11108.64</v>
      </c>
      <c r="O661" t="str">
        <f>TEXT(Table1[[#This Row],[Order_Date]],"yyy")</f>
        <v>2025</v>
      </c>
    </row>
    <row r="662" spans="1:15" x14ac:dyDescent="0.3">
      <c r="A662" t="s">
        <v>712</v>
      </c>
      <c r="B662" s="1">
        <v>45845</v>
      </c>
      <c r="C662" t="s">
        <v>3</v>
      </c>
      <c r="D662" t="s">
        <v>28</v>
      </c>
      <c r="E662" t="s">
        <v>18</v>
      </c>
      <c r="F662" t="s">
        <v>26</v>
      </c>
      <c r="G662" t="s">
        <v>26</v>
      </c>
      <c r="H662" t="s">
        <v>27</v>
      </c>
      <c r="I662" t="s">
        <v>15</v>
      </c>
      <c r="J662">
        <v>10</v>
      </c>
      <c r="K662">
        <v>4456</v>
      </c>
      <c r="L662">
        <v>44560</v>
      </c>
      <c r="M662">
        <v>36148.080000000002</v>
      </c>
      <c r="N662">
        <v>8411.92</v>
      </c>
      <c r="O662" t="str">
        <f>TEXT(Table1[[#This Row],[Order_Date]],"yyy")</f>
        <v>2025</v>
      </c>
    </row>
    <row r="663" spans="1:15" x14ac:dyDescent="0.3">
      <c r="A663" t="s">
        <v>713</v>
      </c>
      <c r="B663" s="1">
        <v>45918</v>
      </c>
      <c r="C663" t="s">
        <v>3</v>
      </c>
      <c r="D663" t="s">
        <v>16</v>
      </c>
      <c r="E663" t="s">
        <v>18</v>
      </c>
      <c r="F663" t="s">
        <v>26</v>
      </c>
      <c r="G663" t="s">
        <v>26</v>
      </c>
      <c r="H663" t="s">
        <v>35</v>
      </c>
      <c r="I663" t="s">
        <v>15</v>
      </c>
      <c r="J663">
        <v>15</v>
      </c>
      <c r="K663">
        <v>2738</v>
      </c>
      <c r="L663">
        <v>41070</v>
      </c>
      <c r="M663">
        <v>27196.68</v>
      </c>
      <c r="N663">
        <v>13873.32</v>
      </c>
      <c r="O663" t="str">
        <f>TEXT(Table1[[#This Row],[Order_Date]],"yyy")</f>
        <v>2025</v>
      </c>
    </row>
    <row r="664" spans="1:15" x14ac:dyDescent="0.3">
      <c r="A664" t="s">
        <v>714</v>
      </c>
      <c r="B664" s="1">
        <v>45417</v>
      </c>
      <c r="C664" t="s">
        <v>10</v>
      </c>
      <c r="D664" t="s">
        <v>16</v>
      </c>
      <c r="E664" t="s">
        <v>4</v>
      </c>
      <c r="F664" t="s">
        <v>36</v>
      </c>
      <c r="G664" t="s">
        <v>36</v>
      </c>
      <c r="H664" t="s">
        <v>33</v>
      </c>
      <c r="I664" t="s">
        <v>15</v>
      </c>
      <c r="J664">
        <v>10</v>
      </c>
      <c r="K664">
        <v>2314</v>
      </c>
      <c r="L664">
        <v>23140</v>
      </c>
      <c r="M664">
        <v>19606.55</v>
      </c>
      <c r="N664">
        <v>3533.45</v>
      </c>
      <c r="O664" t="str">
        <f>TEXT(Table1[[#This Row],[Order_Date]],"yyy")</f>
        <v>2024</v>
      </c>
    </row>
    <row r="665" spans="1:15" x14ac:dyDescent="0.3">
      <c r="A665" t="s">
        <v>715</v>
      </c>
      <c r="B665" s="1">
        <v>45791</v>
      </c>
      <c r="C665" t="s">
        <v>22</v>
      </c>
      <c r="D665" t="s">
        <v>28</v>
      </c>
      <c r="E665" t="s">
        <v>18</v>
      </c>
      <c r="F665" t="s">
        <v>29</v>
      </c>
      <c r="G665" t="s">
        <v>29</v>
      </c>
      <c r="H665" t="s">
        <v>24</v>
      </c>
      <c r="I665" t="s">
        <v>8</v>
      </c>
      <c r="J665">
        <v>11</v>
      </c>
      <c r="K665">
        <v>3607</v>
      </c>
      <c r="L665">
        <v>39677</v>
      </c>
      <c r="M665">
        <v>23774.68</v>
      </c>
      <c r="N665">
        <v>15902.32</v>
      </c>
      <c r="O665" t="str">
        <f>TEXT(Table1[[#This Row],[Order_Date]],"yyy")</f>
        <v>2025</v>
      </c>
    </row>
    <row r="666" spans="1:15" x14ac:dyDescent="0.3">
      <c r="A666" t="s">
        <v>716</v>
      </c>
      <c r="B666" s="1">
        <v>45964</v>
      </c>
      <c r="C666" t="s">
        <v>3</v>
      </c>
      <c r="D666" t="s">
        <v>9</v>
      </c>
      <c r="E666" t="s">
        <v>11</v>
      </c>
      <c r="F666" t="s">
        <v>13</v>
      </c>
      <c r="G666" t="s">
        <v>13</v>
      </c>
      <c r="H666" t="s">
        <v>35</v>
      </c>
      <c r="I666" t="s">
        <v>15</v>
      </c>
      <c r="J666">
        <v>6</v>
      </c>
      <c r="K666">
        <v>3112</v>
      </c>
      <c r="L666">
        <v>18672</v>
      </c>
      <c r="M666">
        <v>13531.43</v>
      </c>
      <c r="N666">
        <v>5140.57</v>
      </c>
      <c r="O666" t="str">
        <f>TEXT(Table1[[#This Row],[Order_Date]],"yyy")</f>
        <v>2025</v>
      </c>
    </row>
    <row r="667" spans="1:15" x14ac:dyDescent="0.3">
      <c r="A667" t="s">
        <v>717</v>
      </c>
      <c r="B667" s="1">
        <v>45561</v>
      </c>
      <c r="C667" t="s">
        <v>22</v>
      </c>
      <c r="D667" t="s">
        <v>16</v>
      </c>
      <c r="E667" t="s">
        <v>11</v>
      </c>
      <c r="F667" t="s">
        <v>13</v>
      </c>
      <c r="G667" t="s">
        <v>13</v>
      </c>
      <c r="H667" t="s">
        <v>24</v>
      </c>
      <c r="I667" t="s">
        <v>15</v>
      </c>
      <c r="J667">
        <v>16</v>
      </c>
      <c r="K667">
        <v>2104</v>
      </c>
      <c r="L667">
        <v>33664</v>
      </c>
      <c r="M667">
        <v>21298.86</v>
      </c>
      <c r="N667">
        <v>12365.14</v>
      </c>
      <c r="O667" t="str">
        <f>TEXT(Table1[[#This Row],[Order_Date]],"yyy")</f>
        <v>2024</v>
      </c>
    </row>
    <row r="668" spans="1:15" x14ac:dyDescent="0.3">
      <c r="A668" t="s">
        <v>718</v>
      </c>
      <c r="B668" s="1">
        <v>45882</v>
      </c>
      <c r="C668" t="s">
        <v>17</v>
      </c>
      <c r="D668" t="s">
        <v>31</v>
      </c>
      <c r="E668" t="s">
        <v>18</v>
      </c>
      <c r="F668" t="s">
        <v>29</v>
      </c>
      <c r="G668" t="s">
        <v>29</v>
      </c>
      <c r="H668" t="s">
        <v>14</v>
      </c>
      <c r="I668" t="s">
        <v>8</v>
      </c>
      <c r="J668">
        <v>11</v>
      </c>
      <c r="K668">
        <v>845</v>
      </c>
      <c r="L668">
        <v>9295</v>
      </c>
      <c r="M668">
        <v>5415.04</v>
      </c>
      <c r="N668">
        <v>3879.96</v>
      </c>
      <c r="O668" t="str">
        <f>TEXT(Table1[[#This Row],[Order_Date]],"yyy")</f>
        <v>2025</v>
      </c>
    </row>
    <row r="669" spans="1:15" x14ac:dyDescent="0.3">
      <c r="A669" t="s">
        <v>719</v>
      </c>
      <c r="B669" s="1">
        <v>45389</v>
      </c>
      <c r="C669" t="s">
        <v>17</v>
      </c>
      <c r="D669" t="s">
        <v>31</v>
      </c>
      <c r="E669" t="s">
        <v>11</v>
      </c>
      <c r="F669" t="s">
        <v>19</v>
      </c>
      <c r="G669" t="s">
        <v>19</v>
      </c>
      <c r="H669" t="s">
        <v>27</v>
      </c>
      <c r="I669" t="s">
        <v>15</v>
      </c>
      <c r="J669">
        <v>5</v>
      </c>
      <c r="K669">
        <v>1739</v>
      </c>
      <c r="L669">
        <v>8695</v>
      </c>
      <c r="M669">
        <v>7022.5</v>
      </c>
      <c r="N669">
        <v>1672.5</v>
      </c>
      <c r="O669" t="str">
        <f>TEXT(Table1[[#This Row],[Order_Date]],"yyy")</f>
        <v>2024</v>
      </c>
    </row>
    <row r="670" spans="1:15" x14ac:dyDescent="0.3">
      <c r="A670" t="s">
        <v>720</v>
      </c>
      <c r="B670" s="1">
        <v>45396</v>
      </c>
      <c r="C670" t="s">
        <v>22</v>
      </c>
      <c r="D670" t="s">
        <v>31</v>
      </c>
      <c r="E670" t="s">
        <v>4</v>
      </c>
      <c r="F670" t="s">
        <v>36</v>
      </c>
      <c r="G670" t="s">
        <v>36</v>
      </c>
      <c r="H670" t="s">
        <v>27</v>
      </c>
      <c r="I670" t="s">
        <v>15</v>
      </c>
      <c r="J670">
        <v>8</v>
      </c>
      <c r="K670">
        <v>981</v>
      </c>
      <c r="L670">
        <v>7848</v>
      </c>
      <c r="M670">
        <v>4575.8</v>
      </c>
      <c r="N670">
        <v>3272.2</v>
      </c>
      <c r="O670" t="str">
        <f>TEXT(Table1[[#This Row],[Order_Date]],"yyy")</f>
        <v>2024</v>
      </c>
    </row>
    <row r="671" spans="1:15" x14ac:dyDescent="0.3">
      <c r="A671" t="s">
        <v>721</v>
      </c>
      <c r="B671" s="1">
        <v>45322</v>
      </c>
      <c r="C671" t="s">
        <v>3</v>
      </c>
      <c r="D671" t="s">
        <v>16</v>
      </c>
      <c r="E671" t="s">
        <v>18</v>
      </c>
      <c r="F671" t="s">
        <v>34</v>
      </c>
      <c r="G671" t="s">
        <v>34</v>
      </c>
      <c r="H671" t="s">
        <v>7</v>
      </c>
      <c r="I671" t="s">
        <v>8</v>
      </c>
      <c r="J671">
        <v>13</v>
      </c>
      <c r="K671">
        <v>2718</v>
      </c>
      <c r="L671">
        <v>35334</v>
      </c>
      <c r="M671">
        <v>20809.95</v>
      </c>
      <c r="N671">
        <v>14524.05</v>
      </c>
      <c r="O671" t="str">
        <f>TEXT(Table1[[#This Row],[Order_Date]],"yyy")</f>
        <v>2024</v>
      </c>
    </row>
    <row r="672" spans="1:15" x14ac:dyDescent="0.3">
      <c r="A672" t="s">
        <v>722</v>
      </c>
      <c r="B672" s="1">
        <v>45763</v>
      </c>
      <c r="C672" t="s">
        <v>3</v>
      </c>
      <c r="D672" t="s">
        <v>31</v>
      </c>
      <c r="E672" t="s">
        <v>4</v>
      </c>
      <c r="F672" t="s">
        <v>36</v>
      </c>
      <c r="G672" t="s">
        <v>36</v>
      </c>
      <c r="H672" t="s">
        <v>7</v>
      </c>
      <c r="I672" t="s">
        <v>15</v>
      </c>
      <c r="J672">
        <v>9</v>
      </c>
      <c r="K672">
        <v>2475</v>
      </c>
      <c r="L672">
        <v>22275</v>
      </c>
      <c r="M672">
        <v>18161.080000000002</v>
      </c>
      <c r="N672">
        <v>4113.92</v>
      </c>
      <c r="O672" t="str">
        <f>TEXT(Table1[[#This Row],[Order_Date]],"yyy")</f>
        <v>2025</v>
      </c>
    </row>
    <row r="673" spans="1:15" x14ac:dyDescent="0.3">
      <c r="A673" t="s">
        <v>723</v>
      </c>
      <c r="B673" s="1">
        <v>45639</v>
      </c>
      <c r="C673" t="s">
        <v>3</v>
      </c>
      <c r="D673" t="s">
        <v>9</v>
      </c>
      <c r="E673" t="s">
        <v>18</v>
      </c>
      <c r="F673" t="s">
        <v>26</v>
      </c>
      <c r="G673" t="s">
        <v>26</v>
      </c>
      <c r="H673" t="s">
        <v>30</v>
      </c>
      <c r="I673" t="s">
        <v>8</v>
      </c>
      <c r="J673">
        <v>14</v>
      </c>
      <c r="K673">
        <v>1879</v>
      </c>
      <c r="L673">
        <v>26306</v>
      </c>
      <c r="M673">
        <v>21743.83</v>
      </c>
      <c r="N673">
        <v>4562.17</v>
      </c>
      <c r="O673" t="str">
        <f>TEXT(Table1[[#This Row],[Order_Date]],"yyy")</f>
        <v>2024</v>
      </c>
    </row>
    <row r="674" spans="1:15" x14ac:dyDescent="0.3">
      <c r="A674" t="s">
        <v>724</v>
      </c>
      <c r="B674" s="1">
        <v>45526</v>
      </c>
      <c r="C674" t="s">
        <v>10</v>
      </c>
      <c r="D674" t="s">
        <v>9</v>
      </c>
      <c r="E674" t="s">
        <v>4</v>
      </c>
      <c r="F674" t="s">
        <v>23</v>
      </c>
      <c r="G674" t="s">
        <v>23</v>
      </c>
      <c r="H674" t="s">
        <v>30</v>
      </c>
      <c r="I674" t="s">
        <v>8</v>
      </c>
      <c r="J674">
        <v>1</v>
      </c>
      <c r="K674">
        <v>4069</v>
      </c>
      <c r="L674">
        <v>4069</v>
      </c>
      <c r="M674">
        <v>2248.39</v>
      </c>
      <c r="N674">
        <v>1820.61</v>
      </c>
      <c r="O674" t="str">
        <f>TEXT(Table1[[#This Row],[Order_Date]],"yyy")</f>
        <v>2024</v>
      </c>
    </row>
    <row r="675" spans="1:15" x14ac:dyDescent="0.3">
      <c r="A675" t="s">
        <v>725</v>
      </c>
      <c r="B675" s="1">
        <v>45492</v>
      </c>
      <c r="C675" t="s">
        <v>17</v>
      </c>
      <c r="D675" t="s">
        <v>9</v>
      </c>
      <c r="E675" t="s">
        <v>11</v>
      </c>
      <c r="F675" t="s">
        <v>19</v>
      </c>
      <c r="G675" t="s">
        <v>19</v>
      </c>
      <c r="H675" t="s">
        <v>27</v>
      </c>
      <c r="I675" t="s">
        <v>8</v>
      </c>
      <c r="J675">
        <v>13</v>
      </c>
      <c r="K675">
        <v>3472</v>
      </c>
      <c r="L675">
        <v>45136</v>
      </c>
      <c r="M675">
        <v>27842.400000000001</v>
      </c>
      <c r="N675">
        <v>17293.599999999999</v>
      </c>
      <c r="O675" t="str">
        <f>TEXT(Table1[[#This Row],[Order_Date]],"yyy")</f>
        <v>2024</v>
      </c>
    </row>
    <row r="676" spans="1:15" x14ac:dyDescent="0.3">
      <c r="A676" t="s">
        <v>726</v>
      </c>
      <c r="B676" s="1">
        <v>45911</v>
      </c>
      <c r="C676" t="s">
        <v>10</v>
      </c>
      <c r="D676" t="s">
        <v>9</v>
      </c>
      <c r="E676" t="s">
        <v>11</v>
      </c>
      <c r="F676" t="s">
        <v>13</v>
      </c>
      <c r="G676" t="s">
        <v>13</v>
      </c>
      <c r="H676" t="s">
        <v>14</v>
      </c>
      <c r="I676" t="s">
        <v>15</v>
      </c>
      <c r="J676">
        <v>17</v>
      </c>
      <c r="K676">
        <v>2470</v>
      </c>
      <c r="L676">
        <v>41990</v>
      </c>
      <c r="M676">
        <v>30755.71</v>
      </c>
      <c r="N676">
        <v>11234.29</v>
      </c>
      <c r="O676" t="str">
        <f>TEXT(Table1[[#This Row],[Order_Date]],"yyy")</f>
        <v>2025</v>
      </c>
    </row>
    <row r="677" spans="1:15" x14ac:dyDescent="0.3">
      <c r="A677" t="s">
        <v>727</v>
      </c>
      <c r="B677" s="1">
        <v>45448</v>
      </c>
      <c r="C677" t="s">
        <v>17</v>
      </c>
      <c r="D677" t="s">
        <v>21</v>
      </c>
      <c r="E677" t="s">
        <v>18</v>
      </c>
      <c r="F677" t="s">
        <v>29</v>
      </c>
      <c r="G677" t="s">
        <v>29</v>
      </c>
      <c r="H677" t="s">
        <v>7</v>
      </c>
      <c r="I677" t="s">
        <v>8</v>
      </c>
      <c r="J677">
        <v>10</v>
      </c>
      <c r="K677">
        <v>4879</v>
      </c>
      <c r="L677">
        <v>48790</v>
      </c>
      <c r="M677">
        <v>30484.85</v>
      </c>
      <c r="N677">
        <v>18305.150000000001</v>
      </c>
      <c r="O677" t="str">
        <f>TEXT(Table1[[#This Row],[Order_Date]],"yyy")</f>
        <v>2024</v>
      </c>
    </row>
    <row r="678" spans="1:15" x14ac:dyDescent="0.3">
      <c r="A678" t="s">
        <v>728</v>
      </c>
      <c r="B678" s="1">
        <v>45952</v>
      </c>
      <c r="C678" t="s">
        <v>22</v>
      </c>
      <c r="D678" t="s">
        <v>25</v>
      </c>
      <c r="E678" t="s">
        <v>4</v>
      </c>
      <c r="F678" t="s">
        <v>23</v>
      </c>
      <c r="G678" t="s">
        <v>23</v>
      </c>
      <c r="H678" t="s">
        <v>20</v>
      </c>
      <c r="I678" t="s">
        <v>8</v>
      </c>
      <c r="J678">
        <v>10</v>
      </c>
      <c r="K678">
        <v>2440</v>
      </c>
      <c r="L678">
        <v>24400</v>
      </c>
      <c r="M678">
        <v>20305.18</v>
      </c>
      <c r="N678">
        <v>4094.82</v>
      </c>
      <c r="O678" t="str">
        <f>TEXT(Table1[[#This Row],[Order_Date]],"yyy")</f>
        <v>2025</v>
      </c>
    </row>
    <row r="679" spans="1:15" x14ac:dyDescent="0.3">
      <c r="A679" t="s">
        <v>729</v>
      </c>
      <c r="B679" s="1">
        <v>45806</v>
      </c>
      <c r="C679" t="s">
        <v>10</v>
      </c>
      <c r="D679" t="s">
        <v>9</v>
      </c>
      <c r="E679" t="s">
        <v>11</v>
      </c>
      <c r="F679" t="s">
        <v>13</v>
      </c>
      <c r="G679" t="s">
        <v>13</v>
      </c>
      <c r="H679" t="s">
        <v>27</v>
      </c>
      <c r="I679" t="s">
        <v>8</v>
      </c>
      <c r="J679">
        <v>5</v>
      </c>
      <c r="K679">
        <v>537</v>
      </c>
      <c r="L679">
        <v>2685</v>
      </c>
      <c r="M679">
        <v>1930.76</v>
      </c>
      <c r="N679">
        <v>754.24</v>
      </c>
      <c r="O679" t="str">
        <f>TEXT(Table1[[#This Row],[Order_Date]],"yyy")</f>
        <v>2025</v>
      </c>
    </row>
    <row r="680" spans="1:15" x14ac:dyDescent="0.3">
      <c r="A680" t="s">
        <v>730</v>
      </c>
      <c r="B680" s="1">
        <v>45618</v>
      </c>
      <c r="C680" t="s">
        <v>3</v>
      </c>
      <c r="D680" t="s">
        <v>9</v>
      </c>
      <c r="E680" t="s">
        <v>4</v>
      </c>
      <c r="F680" t="s">
        <v>36</v>
      </c>
      <c r="G680" t="s">
        <v>36</v>
      </c>
      <c r="H680" t="s">
        <v>33</v>
      </c>
      <c r="I680" t="s">
        <v>15</v>
      </c>
      <c r="J680">
        <v>4</v>
      </c>
      <c r="K680">
        <v>4355</v>
      </c>
      <c r="L680">
        <v>17420</v>
      </c>
      <c r="M680">
        <v>10134.1</v>
      </c>
      <c r="N680">
        <v>7285.9</v>
      </c>
      <c r="O680" t="str">
        <f>TEXT(Table1[[#This Row],[Order_Date]],"yyy")</f>
        <v>2024</v>
      </c>
    </row>
    <row r="681" spans="1:15" x14ac:dyDescent="0.3">
      <c r="A681" t="s">
        <v>731</v>
      </c>
      <c r="B681" s="1">
        <v>45405</v>
      </c>
      <c r="C681" t="s">
        <v>17</v>
      </c>
      <c r="D681" t="s">
        <v>31</v>
      </c>
      <c r="E681" t="s">
        <v>18</v>
      </c>
      <c r="F681" t="s">
        <v>34</v>
      </c>
      <c r="G681" t="s">
        <v>34</v>
      </c>
      <c r="H681" t="s">
        <v>24</v>
      </c>
      <c r="I681" t="s">
        <v>8</v>
      </c>
      <c r="J681">
        <v>17</v>
      </c>
      <c r="K681">
        <v>1873</v>
      </c>
      <c r="L681">
        <v>31841</v>
      </c>
      <c r="M681">
        <v>23812.47</v>
      </c>
      <c r="N681">
        <v>8028.53</v>
      </c>
      <c r="O681" t="str">
        <f>TEXT(Table1[[#This Row],[Order_Date]],"yyy")</f>
        <v>2024</v>
      </c>
    </row>
    <row r="682" spans="1:15" x14ac:dyDescent="0.3">
      <c r="A682" t="s">
        <v>732</v>
      </c>
      <c r="B682" s="1">
        <v>45299</v>
      </c>
      <c r="C682" t="s">
        <v>22</v>
      </c>
      <c r="D682" t="s">
        <v>21</v>
      </c>
      <c r="E682" t="s">
        <v>4</v>
      </c>
      <c r="F682" t="s">
        <v>23</v>
      </c>
      <c r="G682" t="s">
        <v>23</v>
      </c>
      <c r="H682" t="s">
        <v>14</v>
      </c>
      <c r="I682" t="s">
        <v>8</v>
      </c>
      <c r="J682">
        <v>16</v>
      </c>
      <c r="K682">
        <v>3363</v>
      </c>
      <c r="L682">
        <v>53808</v>
      </c>
      <c r="M682">
        <v>41402.83</v>
      </c>
      <c r="N682">
        <v>12405.17</v>
      </c>
      <c r="O682" t="str">
        <f>TEXT(Table1[[#This Row],[Order_Date]],"yyy")</f>
        <v>2024</v>
      </c>
    </row>
    <row r="683" spans="1:15" x14ac:dyDescent="0.3">
      <c r="A683" t="s">
        <v>733</v>
      </c>
      <c r="B683" s="1">
        <v>45988</v>
      </c>
      <c r="C683" t="s">
        <v>17</v>
      </c>
      <c r="D683" t="s">
        <v>28</v>
      </c>
      <c r="E683" t="s">
        <v>18</v>
      </c>
      <c r="F683" t="s">
        <v>26</v>
      </c>
      <c r="G683" t="s">
        <v>26</v>
      </c>
      <c r="H683" t="s">
        <v>20</v>
      </c>
      <c r="I683" t="s">
        <v>15</v>
      </c>
      <c r="J683">
        <v>4</v>
      </c>
      <c r="K683">
        <v>2580</v>
      </c>
      <c r="L683">
        <v>10320</v>
      </c>
      <c r="M683">
        <v>7455.85</v>
      </c>
      <c r="N683">
        <v>2864.15</v>
      </c>
      <c r="O683" t="str">
        <f>TEXT(Table1[[#This Row],[Order_Date]],"yyy")</f>
        <v>2025</v>
      </c>
    </row>
    <row r="684" spans="1:15" x14ac:dyDescent="0.3">
      <c r="A684" t="s">
        <v>734</v>
      </c>
      <c r="B684" s="1">
        <v>45719</v>
      </c>
      <c r="C684" t="s">
        <v>17</v>
      </c>
      <c r="D684" t="s">
        <v>25</v>
      </c>
      <c r="E684" t="s">
        <v>18</v>
      </c>
      <c r="F684" t="s">
        <v>29</v>
      </c>
      <c r="G684" t="s">
        <v>29</v>
      </c>
      <c r="H684" t="s">
        <v>7</v>
      </c>
      <c r="I684" t="s">
        <v>15</v>
      </c>
      <c r="J684">
        <v>4</v>
      </c>
      <c r="K684">
        <v>4070</v>
      </c>
      <c r="L684">
        <v>16280</v>
      </c>
      <c r="M684">
        <v>10428.379999999999</v>
      </c>
      <c r="N684">
        <v>5851.62</v>
      </c>
      <c r="O684" t="str">
        <f>TEXT(Table1[[#This Row],[Order_Date]],"yyy")</f>
        <v>2025</v>
      </c>
    </row>
    <row r="685" spans="1:15" x14ac:dyDescent="0.3">
      <c r="A685" t="s">
        <v>735</v>
      </c>
      <c r="B685" s="1">
        <v>45729</v>
      </c>
      <c r="C685" t="s">
        <v>17</v>
      </c>
      <c r="D685" t="s">
        <v>21</v>
      </c>
      <c r="E685" t="s">
        <v>18</v>
      </c>
      <c r="F685" t="s">
        <v>29</v>
      </c>
      <c r="G685" t="s">
        <v>29</v>
      </c>
      <c r="H685" t="s">
        <v>24</v>
      </c>
      <c r="I685" t="s">
        <v>8</v>
      </c>
      <c r="J685">
        <v>9</v>
      </c>
      <c r="K685">
        <v>1024</v>
      </c>
      <c r="L685">
        <v>9216</v>
      </c>
      <c r="M685">
        <v>5393.93</v>
      </c>
      <c r="N685">
        <v>3822.07</v>
      </c>
      <c r="O685" t="str">
        <f>TEXT(Table1[[#This Row],[Order_Date]],"yyy")</f>
        <v>2025</v>
      </c>
    </row>
    <row r="686" spans="1:15" x14ac:dyDescent="0.3">
      <c r="A686" t="s">
        <v>736</v>
      </c>
      <c r="B686" s="1">
        <v>45669</v>
      </c>
      <c r="C686" t="s">
        <v>17</v>
      </c>
      <c r="D686" t="s">
        <v>21</v>
      </c>
      <c r="E686" t="s">
        <v>11</v>
      </c>
      <c r="F686" t="s">
        <v>19</v>
      </c>
      <c r="G686" t="s">
        <v>19</v>
      </c>
      <c r="H686" t="s">
        <v>24</v>
      </c>
      <c r="I686" t="s">
        <v>15</v>
      </c>
      <c r="J686">
        <v>1</v>
      </c>
      <c r="K686">
        <v>3867</v>
      </c>
      <c r="L686">
        <v>3867</v>
      </c>
      <c r="M686">
        <v>3070.3</v>
      </c>
      <c r="N686">
        <v>796.7</v>
      </c>
      <c r="O686" t="str">
        <f>TEXT(Table1[[#This Row],[Order_Date]],"yyy")</f>
        <v>2025</v>
      </c>
    </row>
    <row r="687" spans="1:15" x14ac:dyDescent="0.3">
      <c r="A687" t="s">
        <v>737</v>
      </c>
      <c r="B687" s="1">
        <v>45415</v>
      </c>
      <c r="C687" t="s">
        <v>10</v>
      </c>
      <c r="D687" t="s">
        <v>9</v>
      </c>
      <c r="E687" t="s">
        <v>11</v>
      </c>
      <c r="F687" t="s">
        <v>6</v>
      </c>
      <c r="G687" t="s">
        <v>6</v>
      </c>
      <c r="H687" t="s">
        <v>14</v>
      </c>
      <c r="I687" t="s">
        <v>8</v>
      </c>
      <c r="J687">
        <v>20</v>
      </c>
      <c r="K687">
        <v>4925</v>
      </c>
      <c r="L687">
        <v>98500</v>
      </c>
      <c r="M687">
        <v>76371.850000000006</v>
      </c>
      <c r="N687">
        <v>22128.15</v>
      </c>
      <c r="O687" t="str">
        <f>TEXT(Table1[[#This Row],[Order_Date]],"yyy")</f>
        <v>2024</v>
      </c>
    </row>
    <row r="688" spans="1:15" x14ac:dyDescent="0.3">
      <c r="A688" t="s">
        <v>738</v>
      </c>
      <c r="B688" s="1">
        <v>45935</v>
      </c>
      <c r="C688" t="s">
        <v>22</v>
      </c>
      <c r="D688" t="s">
        <v>16</v>
      </c>
      <c r="E688" t="s">
        <v>18</v>
      </c>
      <c r="F688" t="s">
        <v>34</v>
      </c>
      <c r="G688" t="s">
        <v>34</v>
      </c>
      <c r="H688" t="s">
        <v>24</v>
      </c>
      <c r="I688" t="s">
        <v>8</v>
      </c>
      <c r="J688">
        <v>15</v>
      </c>
      <c r="K688">
        <v>2036</v>
      </c>
      <c r="L688">
        <v>30540</v>
      </c>
      <c r="M688">
        <v>17184.52</v>
      </c>
      <c r="N688">
        <v>13355.48</v>
      </c>
      <c r="O688" t="str">
        <f>TEXT(Table1[[#This Row],[Order_Date]],"yyy")</f>
        <v>2025</v>
      </c>
    </row>
    <row r="689" spans="1:15" x14ac:dyDescent="0.3">
      <c r="A689" t="s">
        <v>739</v>
      </c>
      <c r="B689" s="1">
        <v>45346</v>
      </c>
      <c r="C689" t="s">
        <v>3</v>
      </c>
      <c r="D689" t="s">
        <v>31</v>
      </c>
      <c r="E689" t="s">
        <v>4</v>
      </c>
      <c r="F689" t="s">
        <v>32</v>
      </c>
      <c r="G689" t="s">
        <v>32</v>
      </c>
      <c r="H689" t="s">
        <v>33</v>
      </c>
      <c r="I689" t="s">
        <v>15</v>
      </c>
      <c r="J689">
        <v>1</v>
      </c>
      <c r="K689">
        <v>754</v>
      </c>
      <c r="L689">
        <v>754</v>
      </c>
      <c r="M689">
        <v>494.5</v>
      </c>
      <c r="N689">
        <v>259.5</v>
      </c>
      <c r="O689" t="str">
        <f>TEXT(Table1[[#This Row],[Order_Date]],"yyy")</f>
        <v>2024</v>
      </c>
    </row>
    <row r="690" spans="1:15" x14ac:dyDescent="0.3">
      <c r="A690" t="s">
        <v>740</v>
      </c>
      <c r="B690" s="1">
        <v>45807</v>
      </c>
      <c r="C690" t="s">
        <v>3</v>
      </c>
      <c r="D690" t="s">
        <v>9</v>
      </c>
      <c r="E690" t="s">
        <v>18</v>
      </c>
      <c r="F690" t="s">
        <v>34</v>
      </c>
      <c r="G690" t="s">
        <v>34</v>
      </c>
      <c r="H690" t="s">
        <v>33</v>
      </c>
      <c r="I690" t="s">
        <v>8</v>
      </c>
      <c r="J690">
        <v>5</v>
      </c>
      <c r="K690">
        <v>4703</v>
      </c>
      <c r="L690">
        <v>23515</v>
      </c>
      <c r="M690">
        <v>14812.84</v>
      </c>
      <c r="N690">
        <v>8702.16</v>
      </c>
      <c r="O690" t="str">
        <f>TEXT(Table1[[#This Row],[Order_Date]],"yyy")</f>
        <v>2025</v>
      </c>
    </row>
    <row r="691" spans="1:15" x14ac:dyDescent="0.3">
      <c r="A691" t="s">
        <v>741</v>
      </c>
      <c r="B691" s="1">
        <v>45603</v>
      </c>
      <c r="C691" t="s">
        <v>17</v>
      </c>
      <c r="D691" t="s">
        <v>31</v>
      </c>
      <c r="E691" t="s">
        <v>4</v>
      </c>
      <c r="F691" t="s">
        <v>23</v>
      </c>
      <c r="G691" t="s">
        <v>23</v>
      </c>
      <c r="H691" t="s">
        <v>35</v>
      </c>
      <c r="I691" t="s">
        <v>8</v>
      </c>
      <c r="J691">
        <v>6</v>
      </c>
      <c r="K691">
        <v>2620</v>
      </c>
      <c r="L691">
        <v>15720</v>
      </c>
      <c r="M691">
        <v>10034.719999999999</v>
      </c>
      <c r="N691">
        <v>5685.28</v>
      </c>
      <c r="O691" t="str">
        <f>TEXT(Table1[[#This Row],[Order_Date]],"yyy")</f>
        <v>2024</v>
      </c>
    </row>
    <row r="692" spans="1:15" x14ac:dyDescent="0.3">
      <c r="A692" t="s">
        <v>742</v>
      </c>
      <c r="B692" s="1">
        <v>45477</v>
      </c>
      <c r="C692" t="s">
        <v>17</v>
      </c>
      <c r="D692" t="s">
        <v>16</v>
      </c>
      <c r="E692" t="s">
        <v>4</v>
      </c>
      <c r="F692" t="s">
        <v>23</v>
      </c>
      <c r="G692" t="s">
        <v>23</v>
      </c>
      <c r="H692" t="s">
        <v>20</v>
      </c>
      <c r="I692" t="s">
        <v>8</v>
      </c>
      <c r="J692">
        <v>15</v>
      </c>
      <c r="K692">
        <v>2669</v>
      </c>
      <c r="L692">
        <v>40035</v>
      </c>
      <c r="M692">
        <v>26943.94</v>
      </c>
      <c r="N692">
        <v>13091.06</v>
      </c>
      <c r="O692" t="str">
        <f>TEXT(Table1[[#This Row],[Order_Date]],"yyy")</f>
        <v>2024</v>
      </c>
    </row>
    <row r="693" spans="1:15" x14ac:dyDescent="0.3">
      <c r="A693" t="s">
        <v>743</v>
      </c>
      <c r="B693" s="1">
        <v>45913</v>
      </c>
      <c r="C693" t="s">
        <v>3</v>
      </c>
      <c r="D693" t="s">
        <v>31</v>
      </c>
      <c r="E693" t="s">
        <v>18</v>
      </c>
      <c r="F693" t="s">
        <v>29</v>
      </c>
      <c r="G693" t="s">
        <v>29</v>
      </c>
      <c r="H693" t="s">
        <v>35</v>
      </c>
      <c r="I693" t="s">
        <v>15</v>
      </c>
      <c r="J693">
        <v>8</v>
      </c>
      <c r="K693">
        <v>1492</v>
      </c>
      <c r="L693">
        <v>11936</v>
      </c>
      <c r="M693">
        <v>8641.24</v>
      </c>
      <c r="N693">
        <v>3294.76</v>
      </c>
      <c r="O693" t="str">
        <f>TEXT(Table1[[#This Row],[Order_Date]],"yyy")</f>
        <v>2025</v>
      </c>
    </row>
    <row r="694" spans="1:15" x14ac:dyDescent="0.3">
      <c r="A694" t="s">
        <v>744</v>
      </c>
      <c r="B694" s="1">
        <v>45815</v>
      </c>
      <c r="C694" t="s">
        <v>3</v>
      </c>
      <c r="D694" t="s">
        <v>31</v>
      </c>
      <c r="E694" t="s">
        <v>18</v>
      </c>
      <c r="F694" t="s">
        <v>34</v>
      </c>
      <c r="G694" t="s">
        <v>34</v>
      </c>
      <c r="H694" t="s">
        <v>33</v>
      </c>
      <c r="I694" t="s">
        <v>15</v>
      </c>
      <c r="J694">
        <v>4</v>
      </c>
      <c r="K694">
        <v>179</v>
      </c>
      <c r="L694">
        <v>716</v>
      </c>
      <c r="M694">
        <v>517.46</v>
      </c>
      <c r="N694">
        <v>198.54</v>
      </c>
      <c r="O694" t="str">
        <f>TEXT(Table1[[#This Row],[Order_Date]],"yyy")</f>
        <v>2025</v>
      </c>
    </row>
    <row r="695" spans="1:15" x14ac:dyDescent="0.3">
      <c r="A695" t="s">
        <v>745</v>
      </c>
      <c r="B695" s="1">
        <v>45681</v>
      </c>
      <c r="C695" t="s">
        <v>10</v>
      </c>
      <c r="D695" t="s">
        <v>9</v>
      </c>
      <c r="E695" t="s">
        <v>4</v>
      </c>
      <c r="F695" t="s">
        <v>32</v>
      </c>
      <c r="G695" t="s">
        <v>32</v>
      </c>
      <c r="H695" t="s">
        <v>20</v>
      </c>
      <c r="I695" t="s">
        <v>8</v>
      </c>
      <c r="J695">
        <v>1</v>
      </c>
      <c r="K695">
        <v>2532</v>
      </c>
      <c r="L695">
        <v>2532</v>
      </c>
      <c r="M695">
        <v>1473.3</v>
      </c>
      <c r="N695">
        <v>1058.7</v>
      </c>
      <c r="O695" t="str">
        <f>TEXT(Table1[[#This Row],[Order_Date]],"yyy")</f>
        <v>2025</v>
      </c>
    </row>
    <row r="696" spans="1:15" x14ac:dyDescent="0.3">
      <c r="A696" t="s">
        <v>746</v>
      </c>
      <c r="B696" s="1">
        <v>45998</v>
      </c>
      <c r="C696" t="s">
        <v>17</v>
      </c>
      <c r="D696" t="s">
        <v>21</v>
      </c>
      <c r="E696" t="s">
        <v>18</v>
      </c>
      <c r="F696" t="s">
        <v>26</v>
      </c>
      <c r="G696" t="s">
        <v>26</v>
      </c>
      <c r="H696" t="s">
        <v>33</v>
      </c>
      <c r="I696" t="s">
        <v>15</v>
      </c>
      <c r="J696">
        <v>7</v>
      </c>
      <c r="K696">
        <v>4348</v>
      </c>
      <c r="L696">
        <v>30436</v>
      </c>
      <c r="M696">
        <v>22701.03</v>
      </c>
      <c r="N696">
        <v>7734.97</v>
      </c>
      <c r="O696" t="str">
        <f>TEXT(Table1[[#This Row],[Order_Date]],"yyy")</f>
        <v>2025</v>
      </c>
    </row>
    <row r="697" spans="1:15" x14ac:dyDescent="0.3">
      <c r="A697" t="s">
        <v>747</v>
      </c>
      <c r="B697" s="1">
        <v>45477</v>
      </c>
      <c r="C697" t="s">
        <v>3</v>
      </c>
      <c r="D697" t="s">
        <v>16</v>
      </c>
      <c r="E697" t="s">
        <v>18</v>
      </c>
      <c r="F697" t="s">
        <v>26</v>
      </c>
      <c r="G697" t="s">
        <v>26</v>
      </c>
      <c r="H697" t="s">
        <v>14</v>
      </c>
      <c r="I697" t="s">
        <v>8</v>
      </c>
      <c r="J697">
        <v>14</v>
      </c>
      <c r="K697">
        <v>3708</v>
      </c>
      <c r="L697">
        <v>51912</v>
      </c>
      <c r="M697">
        <v>36693.910000000003</v>
      </c>
      <c r="N697">
        <v>15218.09</v>
      </c>
      <c r="O697" t="str">
        <f>TEXT(Table1[[#This Row],[Order_Date]],"yyy")</f>
        <v>2024</v>
      </c>
    </row>
    <row r="698" spans="1:15" x14ac:dyDescent="0.3">
      <c r="A698" t="s">
        <v>748</v>
      </c>
      <c r="B698" s="1">
        <v>45297</v>
      </c>
      <c r="C698" t="s">
        <v>10</v>
      </c>
      <c r="D698" t="s">
        <v>25</v>
      </c>
      <c r="E698" t="s">
        <v>4</v>
      </c>
      <c r="F698" t="s">
        <v>32</v>
      </c>
      <c r="G698" t="s">
        <v>32</v>
      </c>
      <c r="H698" t="s">
        <v>14</v>
      </c>
      <c r="I698" t="s">
        <v>8</v>
      </c>
      <c r="J698">
        <v>15</v>
      </c>
      <c r="K698">
        <v>3329</v>
      </c>
      <c r="L698">
        <v>49935</v>
      </c>
      <c r="M698">
        <v>39654.33</v>
      </c>
      <c r="N698">
        <v>10280.67</v>
      </c>
      <c r="O698" t="str">
        <f>TEXT(Table1[[#This Row],[Order_Date]],"yyy")</f>
        <v>2024</v>
      </c>
    </row>
    <row r="699" spans="1:15" x14ac:dyDescent="0.3">
      <c r="A699" t="s">
        <v>749</v>
      </c>
      <c r="B699" s="1">
        <v>45548</v>
      </c>
      <c r="C699" t="s">
        <v>3</v>
      </c>
      <c r="D699" t="s">
        <v>16</v>
      </c>
      <c r="E699" t="s">
        <v>4</v>
      </c>
      <c r="F699" t="s">
        <v>23</v>
      </c>
      <c r="G699" t="s">
        <v>23</v>
      </c>
      <c r="H699" t="s">
        <v>30</v>
      </c>
      <c r="I699" t="s">
        <v>15</v>
      </c>
      <c r="J699">
        <v>19</v>
      </c>
      <c r="K699">
        <v>4782</v>
      </c>
      <c r="L699">
        <v>90858</v>
      </c>
      <c r="M699">
        <v>65922.59</v>
      </c>
      <c r="N699">
        <v>24935.41</v>
      </c>
      <c r="O699" t="str">
        <f>TEXT(Table1[[#This Row],[Order_Date]],"yyy")</f>
        <v>2024</v>
      </c>
    </row>
    <row r="700" spans="1:15" x14ac:dyDescent="0.3">
      <c r="A700" t="s">
        <v>750</v>
      </c>
      <c r="B700" s="1">
        <v>45332</v>
      </c>
      <c r="C700" t="s">
        <v>22</v>
      </c>
      <c r="D700" t="s">
        <v>28</v>
      </c>
      <c r="E700" t="s">
        <v>18</v>
      </c>
      <c r="F700" t="s">
        <v>26</v>
      </c>
      <c r="G700" t="s">
        <v>26</v>
      </c>
      <c r="H700" t="s">
        <v>33</v>
      </c>
      <c r="I700" t="s">
        <v>15</v>
      </c>
      <c r="J700">
        <v>2</v>
      </c>
      <c r="K700">
        <v>362</v>
      </c>
      <c r="L700">
        <v>724</v>
      </c>
      <c r="M700">
        <v>604.99</v>
      </c>
      <c r="N700">
        <v>119.01</v>
      </c>
      <c r="O700" t="str">
        <f>TEXT(Table1[[#This Row],[Order_Date]],"yyy")</f>
        <v>2024</v>
      </c>
    </row>
    <row r="701" spans="1:15" x14ac:dyDescent="0.3">
      <c r="A701" t="s">
        <v>751</v>
      </c>
      <c r="B701" s="1">
        <v>45864</v>
      </c>
      <c r="C701" t="s">
        <v>3</v>
      </c>
      <c r="D701" t="s">
        <v>28</v>
      </c>
      <c r="E701" t="s">
        <v>18</v>
      </c>
      <c r="F701" t="s">
        <v>34</v>
      </c>
      <c r="G701" t="s">
        <v>34</v>
      </c>
      <c r="H701" t="s">
        <v>27</v>
      </c>
      <c r="I701" t="s">
        <v>15</v>
      </c>
      <c r="J701">
        <v>18</v>
      </c>
      <c r="K701">
        <v>3491</v>
      </c>
      <c r="L701">
        <v>62838</v>
      </c>
      <c r="M701">
        <v>48079.95</v>
      </c>
      <c r="N701">
        <v>14758.05</v>
      </c>
      <c r="O701" t="str">
        <f>TEXT(Table1[[#This Row],[Order_Date]],"yyy")</f>
        <v>2025</v>
      </c>
    </row>
    <row r="702" spans="1:15" x14ac:dyDescent="0.3">
      <c r="A702" t="s">
        <v>752</v>
      </c>
      <c r="B702" s="1">
        <v>45795</v>
      </c>
      <c r="C702" t="s">
        <v>10</v>
      </c>
      <c r="D702" t="s">
        <v>31</v>
      </c>
      <c r="E702" t="s">
        <v>11</v>
      </c>
      <c r="F702" t="s">
        <v>13</v>
      </c>
      <c r="G702" t="s">
        <v>13</v>
      </c>
      <c r="H702" t="s">
        <v>33</v>
      </c>
      <c r="I702" t="s">
        <v>15</v>
      </c>
      <c r="J702">
        <v>8</v>
      </c>
      <c r="K702">
        <v>108</v>
      </c>
      <c r="L702">
        <v>864</v>
      </c>
      <c r="M702">
        <v>609.48</v>
      </c>
      <c r="N702">
        <v>254.52</v>
      </c>
      <c r="O702" t="str">
        <f>TEXT(Table1[[#This Row],[Order_Date]],"yyy")</f>
        <v>2025</v>
      </c>
    </row>
    <row r="703" spans="1:15" x14ac:dyDescent="0.3">
      <c r="A703" t="s">
        <v>753</v>
      </c>
      <c r="B703" s="1">
        <v>45841</v>
      </c>
      <c r="C703" t="s">
        <v>10</v>
      </c>
      <c r="D703" t="s">
        <v>16</v>
      </c>
      <c r="E703" t="s">
        <v>4</v>
      </c>
      <c r="F703" t="s">
        <v>23</v>
      </c>
      <c r="G703" t="s">
        <v>23</v>
      </c>
      <c r="H703" t="s">
        <v>20</v>
      </c>
      <c r="I703" t="s">
        <v>15</v>
      </c>
      <c r="J703">
        <v>6</v>
      </c>
      <c r="K703">
        <v>3010</v>
      </c>
      <c r="L703">
        <v>18060</v>
      </c>
      <c r="M703">
        <v>13870.82</v>
      </c>
      <c r="N703">
        <v>4189.18</v>
      </c>
      <c r="O703" t="str">
        <f>TEXT(Table1[[#This Row],[Order_Date]],"yyy")</f>
        <v>2025</v>
      </c>
    </row>
    <row r="704" spans="1:15" x14ac:dyDescent="0.3">
      <c r="A704" t="s">
        <v>754</v>
      </c>
      <c r="B704" s="1">
        <v>45428</v>
      </c>
      <c r="C704" t="s">
        <v>17</v>
      </c>
      <c r="D704" t="s">
        <v>9</v>
      </c>
      <c r="E704" t="s">
        <v>4</v>
      </c>
      <c r="F704" t="s">
        <v>32</v>
      </c>
      <c r="G704" t="s">
        <v>32</v>
      </c>
      <c r="H704" t="s">
        <v>20</v>
      </c>
      <c r="I704" t="s">
        <v>15</v>
      </c>
      <c r="J704">
        <v>8</v>
      </c>
      <c r="K704">
        <v>2384</v>
      </c>
      <c r="L704">
        <v>19072</v>
      </c>
      <c r="M704">
        <v>12020.17</v>
      </c>
      <c r="N704">
        <v>7051.83</v>
      </c>
      <c r="O704" t="str">
        <f>TEXT(Table1[[#This Row],[Order_Date]],"yyy")</f>
        <v>2024</v>
      </c>
    </row>
    <row r="705" spans="1:15" x14ac:dyDescent="0.3">
      <c r="A705" t="s">
        <v>755</v>
      </c>
      <c r="B705" s="1">
        <v>45418</v>
      </c>
      <c r="C705" t="s">
        <v>17</v>
      </c>
      <c r="D705" t="s">
        <v>25</v>
      </c>
      <c r="E705" t="s">
        <v>4</v>
      </c>
      <c r="F705" t="s">
        <v>23</v>
      </c>
      <c r="G705" t="s">
        <v>23</v>
      </c>
      <c r="H705" t="s">
        <v>30</v>
      </c>
      <c r="I705" t="s">
        <v>15</v>
      </c>
      <c r="J705">
        <v>14</v>
      </c>
      <c r="K705">
        <v>4591</v>
      </c>
      <c r="L705">
        <v>64274</v>
      </c>
      <c r="M705">
        <v>47423.32</v>
      </c>
      <c r="N705">
        <v>16850.68</v>
      </c>
      <c r="O705" t="str">
        <f>TEXT(Table1[[#This Row],[Order_Date]],"yyy")</f>
        <v>2024</v>
      </c>
    </row>
    <row r="706" spans="1:15" x14ac:dyDescent="0.3">
      <c r="A706" t="s">
        <v>756</v>
      </c>
      <c r="B706" s="1">
        <v>45379</v>
      </c>
      <c r="C706" t="s">
        <v>17</v>
      </c>
      <c r="D706" t="s">
        <v>16</v>
      </c>
      <c r="E706" t="s">
        <v>18</v>
      </c>
      <c r="F706" t="s">
        <v>26</v>
      </c>
      <c r="G706" t="s">
        <v>26</v>
      </c>
      <c r="H706" t="s">
        <v>27</v>
      </c>
      <c r="I706" t="s">
        <v>15</v>
      </c>
      <c r="J706">
        <v>13</v>
      </c>
      <c r="K706">
        <v>3434</v>
      </c>
      <c r="L706">
        <v>44642</v>
      </c>
      <c r="M706">
        <v>29440.44</v>
      </c>
      <c r="N706">
        <v>15201.56</v>
      </c>
      <c r="O706" t="str">
        <f>TEXT(Table1[[#This Row],[Order_Date]],"yyy")</f>
        <v>2024</v>
      </c>
    </row>
    <row r="707" spans="1:15" x14ac:dyDescent="0.3">
      <c r="A707" t="s">
        <v>757</v>
      </c>
      <c r="B707" s="1">
        <v>45410</v>
      </c>
      <c r="C707" t="s">
        <v>10</v>
      </c>
      <c r="D707" t="s">
        <v>21</v>
      </c>
      <c r="E707" t="s">
        <v>4</v>
      </c>
      <c r="F707" t="s">
        <v>23</v>
      </c>
      <c r="G707" t="s">
        <v>23</v>
      </c>
      <c r="H707" t="s">
        <v>7</v>
      </c>
      <c r="I707" t="s">
        <v>15</v>
      </c>
      <c r="J707">
        <v>11</v>
      </c>
      <c r="K707">
        <v>2334</v>
      </c>
      <c r="L707">
        <v>25674</v>
      </c>
      <c r="M707">
        <v>16985.12</v>
      </c>
      <c r="N707">
        <v>8688.8799999999992</v>
      </c>
      <c r="O707" t="str">
        <f>TEXT(Table1[[#This Row],[Order_Date]],"yyy")</f>
        <v>2024</v>
      </c>
    </row>
    <row r="708" spans="1:15" x14ac:dyDescent="0.3">
      <c r="A708" t="s">
        <v>758</v>
      </c>
      <c r="B708" s="1">
        <v>45483</v>
      </c>
      <c r="C708" t="s">
        <v>3</v>
      </c>
      <c r="D708" t="s">
        <v>16</v>
      </c>
      <c r="E708" t="s">
        <v>11</v>
      </c>
      <c r="F708" t="s">
        <v>19</v>
      </c>
      <c r="G708" t="s">
        <v>19</v>
      </c>
      <c r="H708" t="s">
        <v>27</v>
      </c>
      <c r="I708" t="s">
        <v>8</v>
      </c>
      <c r="J708">
        <v>18</v>
      </c>
      <c r="K708">
        <v>1916</v>
      </c>
      <c r="L708">
        <v>34488</v>
      </c>
      <c r="M708">
        <v>24428.19</v>
      </c>
      <c r="N708">
        <v>10059.81</v>
      </c>
      <c r="O708" t="str">
        <f>TEXT(Table1[[#This Row],[Order_Date]],"yyy")</f>
        <v>2024</v>
      </c>
    </row>
    <row r="709" spans="1:15" x14ac:dyDescent="0.3">
      <c r="A709" t="s">
        <v>759</v>
      </c>
      <c r="B709" s="1">
        <v>45629</v>
      </c>
      <c r="C709" t="s">
        <v>22</v>
      </c>
      <c r="D709" t="s">
        <v>9</v>
      </c>
      <c r="E709" t="s">
        <v>4</v>
      </c>
      <c r="F709" t="s">
        <v>36</v>
      </c>
      <c r="G709" t="s">
        <v>36</v>
      </c>
      <c r="H709" t="s">
        <v>27</v>
      </c>
      <c r="I709" t="s">
        <v>15</v>
      </c>
      <c r="J709">
        <v>18</v>
      </c>
      <c r="K709">
        <v>3856</v>
      </c>
      <c r="L709">
        <v>69408</v>
      </c>
      <c r="M709">
        <v>49902.98</v>
      </c>
      <c r="N709">
        <v>19505.02</v>
      </c>
      <c r="O709" t="str">
        <f>TEXT(Table1[[#This Row],[Order_Date]],"yyy")</f>
        <v>2024</v>
      </c>
    </row>
    <row r="710" spans="1:15" x14ac:dyDescent="0.3">
      <c r="A710" t="s">
        <v>760</v>
      </c>
      <c r="B710" s="1">
        <v>45434</v>
      </c>
      <c r="C710" t="s">
        <v>17</v>
      </c>
      <c r="D710" t="s">
        <v>25</v>
      </c>
      <c r="E710" t="s">
        <v>11</v>
      </c>
      <c r="F710" t="s">
        <v>19</v>
      </c>
      <c r="G710" t="s">
        <v>19</v>
      </c>
      <c r="H710" t="s">
        <v>30</v>
      </c>
      <c r="I710" t="s">
        <v>15</v>
      </c>
      <c r="J710">
        <v>2</v>
      </c>
      <c r="K710">
        <v>1087</v>
      </c>
      <c r="L710">
        <v>2174</v>
      </c>
      <c r="M710">
        <v>1485.69</v>
      </c>
      <c r="N710">
        <v>688.31</v>
      </c>
      <c r="O710" t="str">
        <f>TEXT(Table1[[#This Row],[Order_Date]],"yyy")</f>
        <v>2024</v>
      </c>
    </row>
    <row r="711" spans="1:15" x14ac:dyDescent="0.3">
      <c r="A711" t="s">
        <v>761</v>
      </c>
      <c r="B711" s="1">
        <v>45556</v>
      </c>
      <c r="C711" t="s">
        <v>17</v>
      </c>
      <c r="D711" t="s">
        <v>25</v>
      </c>
      <c r="E711" t="s">
        <v>4</v>
      </c>
      <c r="F711" t="s">
        <v>23</v>
      </c>
      <c r="G711" t="s">
        <v>23</v>
      </c>
      <c r="H711" t="s">
        <v>27</v>
      </c>
      <c r="I711" t="s">
        <v>15</v>
      </c>
      <c r="J711">
        <v>6</v>
      </c>
      <c r="K711">
        <v>795</v>
      </c>
      <c r="L711">
        <v>4770</v>
      </c>
      <c r="M711">
        <v>3325.91</v>
      </c>
      <c r="N711">
        <v>1444.09</v>
      </c>
      <c r="O711" t="str">
        <f>TEXT(Table1[[#This Row],[Order_Date]],"yyy")</f>
        <v>2024</v>
      </c>
    </row>
    <row r="712" spans="1:15" x14ac:dyDescent="0.3">
      <c r="A712" t="s">
        <v>762</v>
      </c>
      <c r="B712" s="1">
        <v>45456</v>
      </c>
      <c r="C712" t="s">
        <v>17</v>
      </c>
      <c r="D712" t="s">
        <v>16</v>
      </c>
      <c r="E712" t="s">
        <v>4</v>
      </c>
      <c r="F712" t="s">
        <v>23</v>
      </c>
      <c r="G712" t="s">
        <v>23</v>
      </c>
      <c r="H712" t="s">
        <v>35</v>
      </c>
      <c r="I712" t="s">
        <v>15</v>
      </c>
      <c r="J712">
        <v>16</v>
      </c>
      <c r="K712">
        <v>4891</v>
      </c>
      <c r="L712">
        <v>78256</v>
      </c>
      <c r="M712">
        <v>58074.77</v>
      </c>
      <c r="N712">
        <v>20181.23</v>
      </c>
      <c r="O712" t="str">
        <f>TEXT(Table1[[#This Row],[Order_Date]],"yyy")</f>
        <v>2024</v>
      </c>
    </row>
    <row r="713" spans="1:15" x14ac:dyDescent="0.3">
      <c r="A713" t="s">
        <v>763</v>
      </c>
      <c r="B713" s="1">
        <v>45455</v>
      </c>
      <c r="C713" t="s">
        <v>10</v>
      </c>
      <c r="D713" t="s">
        <v>21</v>
      </c>
      <c r="E713" t="s">
        <v>11</v>
      </c>
      <c r="F713" t="s">
        <v>6</v>
      </c>
      <c r="G713" t="s">
        <v>6</v>
      </c>
      <c r="H713" t="s">
        <v>7</v>
      </c>
      <c r="I713" t="s">
        <v>8</v>
      </c>
      <c r="J713">
        <v>1</v>
      </c>
      <c r="K713">
        <v>4020</v>
      </c>
      <c r="L713">
        <v>4020</v>
      </c>
      <c r="M713">
        <v>3264.74</v>
      </c>
      <c r="N713">
        <v>755.26</v>
      </c>
      <c r="O713" t="str">
        <f>TEXT(Table1[[#This Row],[Order_Date]],"yyy")</f>
        <v>2024</v>
      </c>
    </row>
    <row r="714" spans="1:15" x14ac:dyDescent="0.3">
      <c r="A714" t="s">
        <v>764</v>
      </c>
      <c r="B714" s="1">
        <v>45765</v>
      </c>
      <c r="C714" t="s">
        <v>22</v>
      </c>
      <c r="D714" t="s">
        <v>25</v>
      </c>
      <c r="E714" t="s">
        <v>11</v>
      </c>
      <c r="F714" t="s">
        <v>13</v>
      </c>
      <c r="G714" t="s">
        <v>13</v>
      </c>
      <c r="H714" t="s">
        <v>33</v>
      </c>
      <c r="I714" t="s">
        <v>15</v>
      </c>
      <c r="J714">
        <v>17</v>
      </c>
      <c r="K714">
        <v>2798</v>
      </c>
      <c r="L714">
        <v>47566</v>
      </c>
      <c r="M714">
        <v>30210.02</v>
      </c>
      <c r="N714">
        <v>17355.98</v>
      </c>
      <c r="O714" t="str">
        <f>TEXT(Table1[[#This Row],[Order_Date]],"yyy")</f>
        <v>2025</v>
      </c>
    </row>
    <row r="715" spans="1:15" x14ac:dyDescent="0.3">
      <c r="A715" t="s">
        <v>765</v>
      </c>
      <c r="B715" s="1">
        <v>45685</v>
      </c>
      <c r="C715" t="s">
        <v>17</v>
      </c>
      <c r="D715" t="s">
        <v>16</v>
      </c>
      <c r="E715" t="s">
        <v>18</v>
      </c>
      <c r="F715" t="s">
        <v>26</v>
      </c>
      <c r="G715" t="s">
        <v>26</v>
      </c>
      <c r="H715" t="s">
        <v>33</v>
      </c>
      <c r="I715" t="s">
        <v>15</v>
      </c>
      <c r="J715">
        <v>6</v>
      </c>
      <c r="K715">
        <v>597</v>
      </c>
      <c r="L715">
        <v>3582</v>
      </c>
      <c r="M715">
        <v>2234.75</v>
      </c>
      <c r="N715">
        <v>1347.25</v>
      </c>
      <c r="O715" t="str">
        <f>TEXT(Table1[[#This Row],[Order_Date]],"yyy")</f>
        <v>2025</v>
      </c>
    </row>
    <row r="716" spans="1:15" x14ac:dyDescent="0.3">
      <c r="A716" t="s">
        <v>766</v>
      </c>
      <c r="B716" s="1">
        <v>45345</v>
      </c>
      <c r="C716" t="s">
        <v>3</v>
      </c>
      <c r="D716" t="s">
        <v>16</v>
      </c>
      <c r="E716" t="s">
        <v>18</v>
      </c>
      <c r="F716" t="s">
        <v>26</v>
      </c>
      <c r="G716" t="s">
        <v>26</v>
      </c>
      <c r="H716" t="s">
        <v>33</v>
      </c>
      <c r="I716" t="s">
        <v>8</v>
      </c>
      <c r="J716">
        <v>16</v>
      </c>
      <c r="K716">
        <v>983</v>
      </c>
      <c r="L716">
        <v>15728</v>
      </c>
      <c r="M716">
        <v>10745.68</v>
      </c>
      <c r="N716">
        <v>4982.32</v>
      </c>
      <c r="O716" t="str">
        <f>TEXT(Table1[[#This Row],[Order_Date]],"yyy")</f>
        <v>2024</v>
      </c>
    </row>
    <row r="717" spans="1:15" x14ac:dyDescent="0.3">
      <c r="A717" t="s">
        <v>767</v>
      </c>
      <c r="B717" s="1">
        <v>45700</v>
      </c>
      <c r="C717" t="s">
        <v>3</v>
      </c>
      <c r="D717" t="s">
        <v>9</v>
      </c>
      <c r="E717" t="s">
        <v>4</v>
      </c>
      <c r="F717" t="s">
        <v>23</v>
      </c>
      <c r="G717" t="s">
        <v>23</v>
      </c>
      <c r="H717" t="s">
        <v>27</v>
      </c>
      <c r="I717" t="s">
        <v>8</v>
      </c>
      <c r="J717">
        <v>13</v>
      </c>
      <c r="K717">
        <v>3973</v>
      </c>
      <c r="L717">
        <v>51649</v>
      </c>
      <c r="M717">
        <v>31823.95</v>
      </c>
      <c r="N717">
        <v>19825.05</v>
      </c>
      <c r="O717" t="str">
        <f>TEXT(Table1[[#This Row],[Order_Date]],"yyy")</f>
        <v>2025</v>
      </c>
    </row>
    <row r="718" spans="1:15" x14ac:dyDescent="0.3">
      <c r="A718" t="s">
        <v>768</v>
      </c>
      <c r="B718" s="1">
        <v>45959</v>
      </c>
      <c r="C718" t="s">
        <v>10</v>
      </c>
      <c r="D718" t="s">
        <v>21</v>
      </c>
      <c r="E718" t="s">
        <v>11</v>
      </c>
      <c r="F718" t="s">
        <v>19</v>
      </c>
      <c r="G718" t="s">
        <v>19</v>
      </c>
      <c r="H718" t="s">
        <v>35</v>
      </c>
      <c r="I718" t="s">
        <v>8</v>
      </c>
      <c r="J718">
        <v>19</v>
      </c>
      <c r="K718">
        <v>1406</v>
      </c>
      <c r="L718">
        <v>26714</v>
      </c>
      <c r="M718">
        <v>21661.46</v>
      </c>
      <c r="N718">
        <v>5052.54</v>
      </c>
      <c r="O718" t="str">
        <f>TEXT(Table1[[#This Row],[Order_Date]],"yyy")</f>
        <v>2025</v>
      </c>
    </row>
    <row r="719" spans="1:15" x14ac:dyDescent="0.3">
      <c r="A719" t="s">
        <v>769</v>
      </c>
      <c r="B719" s="1">
        <v>45623</v>
      </c>
      <c r="C719" t="s">
        <v>17</v>
      </c>
      <c r="D719" t="s">
        <v>21</v>
      </c>
      <c r="E719" t="s">
        <v>4</v>
      </c>
      <c r="F719" t="s">
        <v>32</v>
      </c>
      <c r="G719" t="s">
        <v>32</v>
      </c>
      <c r="H719" t="s">
        <v>35</v>
      </c>
      <c r="I719" t="s">
        <v>15</v>
      </c>
      <c r="J719">
        <v>9</v>
      </c>
      <c r="K719">
        <v>4315</v>
      </c>
      <c r="L719">
        <v>38835</v>
      </c>
      <c r="M719">
        <v>32609.09</v>
      </c>
      <c r="N719">
        <v>6225.91</v>
      </c>
      <c r="O719" t="str">
        <f>TEXT(Table1[[#This Row],[Order_Date]],"yyy")</f>
        <v>2024</v>
      </c>
    </row>
    <row r="720" spans="1:15" x14ac:dyDescent="0.3">
      <c r="A720" t="s">
        <v>770</v>
      </c>
      <c r="B720" s="1">
        <v>45848</v>
      </c>
      <c r="C720" t="s">
        <v>3</v>
      </c>
      <c r="D720" t="s">
        <v>9</v>
      </c>
      <c r="E720" t="s">
        <v>18</v>
      </c>
      <c r="F720" t="s">
        <v>26</v>
      </c>
      <c r="G720" t="s">
        <v>26</v>
      </c>
      <c r="H720" t="s">
        <v>35</v>
      </c>
      <c r="I720" t="s">
        <v>15</v>
      </c>
      <c r="J720">
        <v>6</v>
      </c>
      <c r="K720">
        <v>3064</v>
      </c>
      <c r="L720">
        <v>18384</v>
      </c>
      <c r="M720">
        <v>14453.24</v>
      </c>
      <c r="N720">
        <v>3930.76</v>
      </c>
      <c r="O720" t="str">
        <f>TEXT(Table1[[#This Row],[Order_Date]],"yyy")</f>
        <v>2025</v>
      </c>
    </row>
    <row r="721" spans="1:15" x14ac:dyDescent="0.3">
      <c r="A721" t="s">
        <v>771</v>
      </c>
      <c r="B721" s="1">
        <v>45478</v>
      </c>
      <c r="C721" t="s">
        <v>10</v>
      </c>
      <c r="D721" t="s">
        <v>16</v>
      </c>
      <c r="E721" t="s">
        <v>11</v>
      </c>
      <c r="F721" t="s">
        <v>6</v>
      </c>
      <c r="G721" t="s">
        <v>6</v>
      </c>
      <c r="H721" t="s">
        <v>7</v>
      </c>
      <c r="I721" t="s">
        <v>15</v>
      </c>
      <c r="J721">
        <v>9</v>
      </c>
      <c r="K721">
        <v>4501</v>
      </c>
      <c r="L721">
        <v>40509</v>
      </c>
      <c r="M721">
        <v>30631.67</v>
      </c>
      <c r="N721">
        <v>9877.33</v>
      </c>
      <c r="O721" t="str">
        <f>TEXT(Table1[[#This Row],[Order_Date]],"yyy")</f>
        <v>2024</v>
      </c>
    </row>
    <row r="722" spans="1:15" x14ac:dyDescent="0.3">
      <c r="A722" t="s">
        <v>772</v>
      </c>
      <c r="B722" s="1">
        <v>45621</v>
      </c>
      <c r="C722" t="s">
        <v>3</v>
      </c>
      <c r="D722" t="s">
        <v>28</v>
      </c>
      <c r="E722" t="s">
        <v>11</v>
      </c>
      <c r="F722" t="s">
        <v>13</v>
      </c>
      <c r="G722" t="s">
        <v>13</v>
      </c>
      <c r="H722" t="s">
        <v>35</v>
      </c>
      <c r="I722" t="s">
        <v>8</v>
      </c>
      <c r="J722">
        <v>8</v>
      </c>
      <c r="K722">
        <v>1042</v>
      </c>
      <c r="L722">
        <v>8336</v>
      </c>
      <c r="M722">
        <v>5350.6</v>
      </c>
      <c r="N722">
        <v>2985.4</v>
      </c>
      <c r="O722" t="str">
        <f>TEXT(Table1[[#This Row],[Order_Date]],"yyy")</f>
        <v>2024</v>
      </c>
    </row>
    <row r="723" spans="1:15" x14ac:dyDescent="0.3">
      <c r="A723" t="s">
        <v>773</v>
      </c>
      <c r="B723" s="1">
        <v>45895</v>
      </c>
      <c r="C723" t="s">
        <v>3</v>
      </c>
      <c r="D723" t="s">
        <v>31</v>
      </c>
      <c r="E723" t="s">
        <v>18</v>
      </c>
      <c r="F723" t="s">
        <v>26</v>
      </c>
      <c r="G723" t="s">
        <v>26</v>
      </c>
      <c r="H723" t="s">
        <v>20</v>
      </c>
      <c r="I723" t="s">
        <v>15</v>
      </c>
      <c r="J723">
        <v>7</v>
      </c>
      <c r="K723">
        <v>2855</v>
      </c>
      <c r="L723">
        <v>19985</v>
      </c>
      <c r="M723">
        <v>15776.41</v>
      </c>
      <c r="N723">
        <v>4208.59</v>
      </c>
      <c r="O723" t="str">
        <f>TEXT(Table1[[#This Row],[Order_Date]],"yyy")</f>
        <v>2025</v>
      </c>
    </row>
    <row r="724" spans="1:15" x14ac:dyDescent="0.3">
      <c r="A724" t="s">
        <v>774</v>
      </c>
      <c r="B724" s="1">
        <v>45605</v>
      </c>
      <c r="C724" t="s">
        <v>3</v>
      </c>
      <c r="D724" t="s">
        <v>16</v>
      </c>
      <c r="E724" t="s">
        <v>18</v>
      </c>
      <c r="F724" t="s">
        <v>29</v>
      </c>
      <c r="G724" t="s">
        <v>29</v>
      </c>
      <c r="H724" t="s">
        <v>20</v>
      </c>
      <c r="I724" t="s">
        <v>8</v>
      </c>
      <c r="J724">
        <v>6</v>
      </c>
      <c r="K724">
        <v>4781</v>
      </c>
      <c r="L724">
        <v>28686</v>
      </c>
      <c r="M724">
        <v>20297.509999999998</v>
      </c>
      <c r="N724">
        <v>8388.49</v>
      </c>
      <c r="O724" t="str">
        <f>TEXT(Table1[[#This Row],[Order_Date]],"yyy")</f>
        <v>2024</v>
      </c>
    </row>
    <row r="725" spans="1:15" x14ac:dyDescent="0.3">
      <c r="A725" t="s">
        <v>775</v>
      </c>
      <c r="B725" s="1">
        <v>45789</v>
      </c>
      <c r="C725" t="s">
        <v>3</v>
      </c>
      <c r="D725" t="s">
        <v>21</v>
      </c>
      <c r="E725" t="s">
        <v>4</v>
      </c>
      <c r="F725" t="s">
        <v>32</v>
      </c>
      <c r="G725" t="s">
        <v>32</v>
      </c>
      <c r="H725" t="s">
        <v>33</v>
      </c>
      <c r="I725" t="s">
        <v>15</v>
      </c>
      <c r="J725">
        <v>12</v>
      </c>
      <c r="K725">
        <v>2089</v>
      </c>
      <c r="L725">
        <v>25068</v>
      </c>
      <c r="M725">
        <v>16971.3</v>
      </c>
      <c r="N725">
        <v>8096.7</v>
      </c>
      <c r="O725" t="str">
        <f>TEXT(Table1[[#This Row],[Order_Date]],"yyy")</f>
        <v>2025</v>
      </c>
    </row>
    <row r="726" spans="1:15" x14ac:dyDescent="0.3">
      <c r="A726" t="s">
        <v>776</v>
      </c>
      <c r="B726" s="1">
        <v>45752</v>
      </c>
      <c r="C726" t="s">
        <v>17</v>
      </c>
      <c r="D726" t="s">
        <v>9</v>
      </c>
      <c r="E726" t="s">
        <v>4</v>
      </c>
      <c r="F726" t="s">
        <v>36</v>
      </c>
      <c r="G726" t="s">
        <v>36</v>
      </c>
      <c r="H726" t="s">
        <v>27</v>
      </c>
      <c r="I726" t="s">
        <v>8</v>
      </c>
      <c r="J726">
        <v>19</v>
      </c>
      <c r="K726">
        <v>1537</v>
      </c>
      <c r="L726">
        <v>29203</v>
      </c>
      <c r="M726">
        <v>20494.36</v>
      </c>
      <c r="N726">
        <v>8708.64</v>
      </c>
      <c r="O726" t="str">
        <f>TEXT(Table1[[#This Row],[Order_Date]],"yyy")</f>
        <v>2025</v>
      </c>
    </row>
    <row r="727" spans="1:15" x14ac:dyDescent="0.3">
      <c r="A727" t="s">
        <v>777</v>
      </c>
      <c r="B727" s="1">
        <v>45848</v>
      </c>
      <c r="C727" t="s">
        <v>3</v>
      </c>
      <c r="D727" t="s">
        <v>9</v>
      </c>
      <c r="E727" t="s">
        <v>4</v>
      </c>
      <c r="F727" t="s">
        <v>36</v>
      </c>
      <c r="G727" t="s">
        <v>36</v>
      </c>
      <c r="H727" t="s">
        <v>35</v>
      </c>
      <c r="I727" t="s">
        <v>8</v>
      </c>
      <c r="J727">
        <v>17</v>
      </c>
      <c r="K727">
        <v>2939</v>
      </c>
      <c r="L727">
        <v>49963</v>
      </c>
      <c r="M727">
        <v>41743.599999999999</v>
      </c>
      <c r="N727">
        <v>8219.4</v>
      </c>
      <c r="O727" t="str">
        <f>TEXT(Table1[[#This Row],[Order_Date]],"yyy")</f>
        <v>2025</v>
      </c>
    </row>
    <row r="728" spans="1:15" x14ac:dyDescent="0.3">
      <c r="A728" t="s">
        <v>778</v>
      </c>
      <c r="B728" s="1">
        <v>45443</v>
      </c>
      <c r="C728" t="s">
        <v>17</v>
      </c>
      <c r="D728" t="s">
        <v>28</v>
      </c>
      <c r="E728" t="s">
        <v>18</v>
      </c>
      <c r="F728" t="s">
        <v>26</v>
      </c>
      <c r="G728" t="s">
        <v>26</v>
      </c>
      <c r="H728" t="s">
        <v>27</v>
      </c>
      <c r="I728" t="s">
        <v>15</v>
      </c>
      <c r="J728">
        <v>9</v>
      </c>
      <c r="K728">
        <v>3497</v>
      </c>
      <c r="L728">
        <v>31473</v>
      </c>
      <c r="M728">
        <v>25179.48</v>
      </c>
      <c r="N728">
        <v>6293.52</v>
      </c>
      <c r="O728" t="str">
        <f>TEXT(Table1[[#This Row],[Order_Date]],"yyy")</f>
        <v>2024</v>
      </c>
    </row>
    <row r="729" spans="1:15" x14ac:dyDescent="0.3">
      <c r="A729" t="s">
        <v>779</v>
      </c>
      <c r="B729" s="1">
        <v>45304</v>
      </c>
      <c r="C729" t="s">
        <v>22</v>
      </c>
      <c r="D729" t="s">
        <v>25</v>
      </c>
      <c r="E729" t="s">
        <v>4</v>
      </c>
      <c r="F729" t="s">
        <v>32</v>
      </c>
      <c r="G729" t="s">
        <v>32</v>
      </c>
      <c r="H729" t="s">
        <v>7</v>
      </c>
      <c r="I729" t="s">
        <v>15</v>
      </c>
      <c r="J729">
        <v>14</v>
      </c>
      <c r="K729">
        <v>3025</v>
      </c>
      <c r="L729">
        <v>42350</v>
      </c>
      <c r="M729">
        <v>25474.76</v>
      </c>
      <c r="N729">
        <v>16875.240000000002</v>
      </c>
      <c r="O729" t="str">
        <f>TEXT(Table1[[#This Row],[Order_Date]],"yyy")</f>
        <v>2024</v>
      </c>
    </row>
    <row r="730" spans="1:15" x14ac:dyDescent="0.3">
      <c r="A730" t="s">
        <v>780</v>
      </c>
      <c r="B730" s="1">
        <v>45400</v>
      </c>
      <c r="C730" t="s">
        <v>10</v>
      </c>
      <c r="D730" t="s">
        <v>21</v>
      </c>
      <c r="E730" t="s">
        <v>4</v>
      </c>
      <c r="F730" t="s">
        <v>23</v>
      </c>
      <c r="G730" t="s">
        <v>23</v>
      </c>
      <c r="H730" t="s">
        <v>30</v>
      </c>
      <c r="I730" t="s">
        <v>8</v>
      </c>
      <c r="J730">
        <v>10</v>
      </c>
      <c r="K730">
        <v>1525</v>
      </c>
      <c r="L730">
        <v>15250</v>
      </c>
      <c r="M730">
        <v>9408.4</v>
      </c>
      <c r="N730">
        <v>5841.6</v>
      </c>
      <c r="O730" t="str">
        <f>TEXT(Table1[[#This Row],[Order_Date]],"yyy")</f>
        <v>2024</v>
      </c>
    </row>
    <row r="731" spans="1:15" x14ac:dyDescent="0.3">
      <c r="A731" t="s">
        <v>781</v>
      </c>
      <c r="B731" s="1">
        <v>45580</v>
      </c>
      <c r="C731" t="s">
        <v>17</v>
      </c>
      <c r="D731" t="s">
        <v>16</v>
      </c>
      <c r="E731" t="s">
        <v>4</v>
      </c>
      <c r="F731" t="s">
        <v>36</v>
      </c>
      <c r="G731" t="s">
        <v>36</v>
      </c>
      <c r="H731" t="s">
        <v>14</v>
      </c>
      <c r="I731" t="s">
        <v>15</v>
      </c>
      <c r="J731">
        <v>9</v>
      </c>
      <c r="K731">
        <v>4205</v>
      </c>
      <c r="L731">
        <v>37845</v>
      </c>
      <c r="M731">
        <v>25031.16</v>
      </c>
      <c r="N731">
        <v>12813.84</v>
      </c>
      <c r="O731" t="str">
        <f>TEXT(Table1[[#This Row],[Order_Date]],"yyy")</f>
        <v>2024</v>
      </c>
    </row>
    <row r="732" spans="1:15" x14ac:dyDescent="0.3">
      <c r="A732" t="s">
        <v>782</v>
      </c>
      <c r="B732" s="1">
        <v>45311</v>
      </c>
      <c r="C732" t="s">
        <v>3</v>
      </c>
      <c r="D732" t="s">
        <v>9</v>
      </c>
      <c r="E732" t="s">
        <v>4</v>
      </c>
      <c r="F732" t="s">
        <v>36</v>
      </c>
      <c r="G732" t="s">
        <v>36</v>
      </c>
      <c r="H732" t="s">
        <v>30</v>
      </c>
      <c r="I732" t="s">
        <v>15</v>
      </c>
      <c r="J732">
        <v>19</v>
      </c>
      <c r="K732">
        <v>239</v>
      </c>
      <c r="L732">
        <v>4541</v>
      </c>
      <c r="M732">
        <v>3604.1</v>
      </c>
      <c r="N732">
        <v>936.9</v>
      </c>
      <c r="O732" t="str">
        <f>TEXT(Table1[[#This Row],[Order_Date]],"yyy")</f>
        <v>2024</v>
      </c>
    </row>
    <row r="733" spans="1:15" x14ac:dyDescent="0.3">
      <c r="A733" t="s">
        <v>783</v>
      </c>
      <c r="B733" s="1">
        <v>45339</v>
      </c>
      <c r="C733" t="s">
        <v>17</v>
      </c>
      <c r="D733" t="s">
        <v>16</v>
      </c>
      <c r="E733" t="s">
        <v>11</v>
      </c>
      <c r="F733" t="s">
        <v>19</v>
      </c>
      <c r="G733" t="s">
        <v>19</v>
      </c>
      <c r="H733" t="s">
        <v>14</v>
      </c>
      <c r="I733" t="s">
        <v>15</v>
      </c>
      <c r="J733">
        <v>13</v>
      </c>
      <c r="K733">
        <v>2227</v>
      </c>
      <c r="L733">
        <v>28951</v>
      </c>
      <c r="M733">
        <v>17985.41</v>
      </c>
      <c r="N733">
        <v>10965.59</v>
      </c>
      <c r="O733" t="str">
        <f>TEXT(Table1[[#This Row],[Order_Date]],"yyy")</f>
        <v>2024</v>
      </c>
    </row>
    <row r="734" spans="1:15" x14ac:dyDescent="0.3">
      <c r="A734" t="s">
        <v>784</v>
      </c>
      <c r="B734" s="1">
        <v>45440</v>
      </c>
      <c r="C734" t="s">
        <v>3</v>
      </c>
      <c r="D734" t="s">
        <v>25</v>
      </c>
      <c r="E734" t="s">
        <v>18</v>
      </c>
      <c r="F734" t="s">
        <v>26</v>
      </c>
      <c r="G734" t="s">
        <v>26</v>
      </c>
      <c r="H734" t="s">
        <v>7</v>
      </c>
      <c r="I734" t="s">
        <v>15</v>
      </c>
      <c r="J734">
        <v>13</v>
      </c>
      <c r="K734">
        <v>402</v>
      </c>
      <c r="L734">
        <v>5226</v>
      </c>
      <c r="M734">
        <v>3991.75</v>
      </c>
      <c r="N734">
        <v>1234.25</v>
      </c>
      <c r="O734" t="str">
        <f>TEXT(Table1[[#This Row],[Order_Date]],"yyy")</f>
        <v>2024</v>
      </c>
    </row>
    <row r="735" spans="1:15" x14ac:dyDescent="0.3">
      <c r="A735" t="s">
        <v>785</v>
      </c>
      <c r="B735" s="1">
        <v>45937</v>
      </c>
      <c r="C735" t="s">
        <v>10</v>
      </c>
      <c r="D735" t="s">
        <v>25</v>
      </c>
      <c r="E735" t="s">
        <v>4</v>
      </c>
      <c r="F735" t="s">
        <v>23</v>
      </c>
      <c r="G735" t="s">
        <v>23</v>
      </c>
      <c r="H735" t="s">
        <v>30</v>
      </c>
      <c r="I735" t="s">
        <v>8</v>
      </c>
      <c r="J735">
        <v>5</v>
      </c>
      <c r="K735">
        <v>4187</v>
      </c>
      <c r="L735">
        <v>20935</v>
      </c>
      <c r="M735">
        <v>15418.04</v>
      </c>
      <c r="N735">
        <v>5516.96</v>
      </c>
      <c r="O735" t="str">
        <f>TEXT(Table1[[#This Row],[Order_Date]],"yyy")</f>
        <v>2025</v>
      </c>
    </row>
    <row r="736" spans="1:15" x14ac:dyDescent="0.3">
      <c r="A736" t="s">
        <v>786</v>
      </c>
      <c r="B736" s="1">
        <v>45504</v>
      </c>
      <c r="C736" t="s">
        <v>17</v>
      </c>
      <c r="D736" t="s">
        <v>9</v>
      </c>
      <c r="E736" t="s">
        <v>18</v>
      </c>
      <c r="F736" t="s">
        <v>29</v>
      </c>
      <c r="G736" t="s">
        <v>29</v>
      </c>
      <c r="H736" t="s">
        <v>14</v>
      </c>
      <c r="I736" t="s">
        <v>8</v>
      </c>
      <c r="J736">
        <v>11</v>
      </c>
      <c r="K736">
        <v>391</v>
      </c>
      <c r="L736">
        <v>4301</v>
      </c>
      <c r="M736">
        <v>3568.53</v>
      </c>
      <c r="N736">
        <v>732.47</v>
      </c>
      <c r="O736" t="str">
        <f>TEXT(Table1[[#This Row],[Order_Date]],"yyy")</f>
        <v>2024</v>
      </c>
    </row>
    <row r="737" spans="1:15" x14ac:dyDescent="0.3">
      <c r="A737" t="s">
        <v>787</v>
      </c>
      <c r="B737" s="1">
        <v>45336</v>
      </c>
      <c r="C737" t="s">
        <v>17</v>
      </c>
      <c r="D737" t="s">
        <v>9</v>
      </c>
      <c r="E737" t="s">
        <v>18</v>
      </c>
      <c r="F737" t="s">
        <v>26</v>
      </c>
      <c r="G737" t="s">
        <v>26</v>
      </c>
      <c r="H737" t="s">
        <v>14</v>
      </c>
      <c r="I737" t="s">
        <v>15</v>
      </c>
      <c r="J737">
        <v>17</v>
      </c>
      <c r="K737">
        <v>641</v>
      </c>
      <c r="L737">
        <v>10897</v>
      </c>
      <c r="M737">
        <v>8736.48</v>
      </c>
      <c r="N737">
        <v>2160.52</v>
      </c>
      <c r="O737" t="str">
        <f>TEXT(Table1[[#This Row],[Order_Date]],"yyy")</f>
        <v>2024</v>
      </c>
    </row>
    <row r="738" spans="1:15" x14ac:dyDescent="0.3">
      <c r="A738" t="s">
        <v>788</v>
      </c>
      <c r="B738" s="1">
        <v>45875</v>
      </c>
      <c r="C738" t="s">
        <v>22</v>
      </c>
      <c r="D738" t="s">
        <v>16</v>
      </c>
      <c r="E738" t="s">
        <v>11</v>
      </c>
      <c r="F738" t="s">
        <v>13</v>
      </c>
      <c r="G738" t="s">
        <v>13</v>
      </c>
      <c r="H738" t="s">
        <v>7</v>
      </c>
      <c r="I738" t="s">
        <v>8</v>
      </c>
      <c r="J738">
        <v>2</v>
      </c>
      <c r="K738">
        <v>1227</v>
      </c>
      <c r="L738">
        <v>2454</v>
      </c>
      <c r="M738">
        <v>1411.62</v>
      </c>
      <c r="N738">
        <v>1042.3800000000001</v>
      </c>
      <c r="O738" t="str">
        <f>TEXT(Table1[[#This Row],[Order_Date]],"yyy")</f>
        <v>2025</v>
      </c>
    </row>
    <row r="739" spans="1:15" x14ac:dyDescent="0.3">
      <c r="A739" t="s">
        <v>789</v>
      </c>
      <c r="B739" s="1">
        <v>45867</v>
      </c>
      <c r="C739" t="s">
        <v>3</v>
      </c>
      <c r="D739" t="s">
        <v>21</v>
      </c>
      <c r="E739" t="s">
        <v>11</v>
      </c>
      <c r="F739" t="s">
        <v>19</v>
      </c>
      <c r="G739" t="s">
        <v>19</v>
      </c>
      <c r="H739" t="s">
        <v>20</v>
      </c>
      <c r="I739" t="s">
        <v>15</v>
      </c>
      <c r="J739">
        <v>20</v>
      </c>
      <c r="K739">
        <v>1310</v>
      </c>
      <c r="L739">
        <v>26200</v>
      </c>
      <c r="M739">
        <v>16348.17</v>
      </c>
      <c r="N739">
        <v>9851.83</v>
      </c>
      <c r="O739" t="str">
        <f>TEXT(Table1[[#This Row],[Order_Date]],"yyy")</f>
        <v>2025</v>
      </c>
    </row>
    <row r="740" spans="1:15" x14ac:dyDescent="0.3">
      <c r="A740" t="s">
        <v>790</v>
      </c>
      <c r="B740" s="1">
        <v>45697</v>
      </c>
      <c r="C740" t="s">
        <v>10</v>
      </c>
      <c r="D740" t="s">
        <v>16</v>
      </c>
      <c r="E740" t="s">
        <v>18</v>
      </c>
      <c r="F740" t="s">
        <v>26</v>
      </c>
      <c r="G740" t="s">
        <v>26</v>
      </c>
      <c r="H740" t="s">
        <v>27</v>
      </c>
      <c r="I740" t="s">
        <v>8</v>
      </c>
      <c r="J740">
        <v>5</v>
      </c>
      <c r="K740">
        <v>112</v>
      </c>
      <c r="L740">
        <v>560</v>
      </c>
      <c r="M740">
        <v>447.16</v>
      </c>
      <c r="N740">
        <v>112.84</v>
      </c>
      <c r="O740" t="str">
        <f>TEXT(Table1[[#This Row],[Order_Date]],"yyy")</f>
        <v>2025</v>
      </c>
    </row>
    <row r="741" spans="1:15" x14ac:dyDescent="0.3">
      <c r="A741" t="s">
        <v>791</v>
      </c>
      <c r="B741" s="1">
        <v>45576</v>
      </c>
      <c r="C741" t="s">
        <v>3</v>
      </c>
      <c r="D741" t="s">
        <v>9</v>
      </c>
      <c r="E741" t="s">
        <v>11</v>
      </c>
      <c r="F741" t="s">
        <v>13</v>
      </c>
      <c r="G741" t="s">
        <v>13</v>
      </c>
      <c r="H741" t="s">
        <v>27</v>
      </c>
      <c r="I741" t="s">
        <v>15</v>
      </c>
      <c r="J741">
        <v>12</v>
      </c>
      <c r="K741">
        <v>1393</v>
      </c>
      <c r="L741">
        <v>16716</v>
      </c>
      <c r="M741">
        <v>13212.05</v>
      </c>
      <c r="N741">
        <v>3503.95</v>
      </c>
      <c r="O741" t="str">
        <f>TEXT(Table1[[#This Row],[Order_Date]],"yyy")</f>
        <v>2024</v>
      </c>
    </row>
    <row r="742" spans="1:15" x14ac:dyDescent="0.3">
      <c r="A742" t="s">
        <v>792</v>
      </c>
      <c r="B742" s="1">
        <v>45410</v>
      </c>
      <c r="C742" t="s">
        <v>22</v>
      </c>
      <c r="D742" t="s">
        <v>9</v>
      </c>
      <c r="E742" t="s">
        <v>18</v>
      </c>
      <c r="F742" t="s">
        <v>29</v>
      </c>
      <c r="G742" t="s">
        <v>29</v>
      </c>
      <c r="H742" t="s">
        <v>33</v>
      </c>
      <c r="I742" t="s">
        <v>15</v>
      </c>
      <c r="J742">
        <v>4</v>
      </c>
      <c r="K742">
        <v>4003</v>
      </c>
      <c r="L742">
        <v>16012</v>
      </c>
      <c r="M742">
        <v>9212.66</v>
      </c>
      <c r="N742">
        <v>6799.34</v>
      </c>
      <c r="O742" t="str">
        <f>TEXT(Table1[[#This Row],[Order_Date]],"yyy")</f>
        <v>2024</v>
      </c>
    </row>
    <row r="743" spans="1:15" x14ac:dyDescent="0.3">
      <c r="A743" t="s">
        <v>793</v>
      </c>
      <c r="B743" s="1">
        <v>45996</v>
      </c>
      <c r="C743" t="s">
        <v>22</v>
      </c>
      <c r="D743" t="s">
        <v>25</v>
      </c>
      <c r="E743" t="s">
        <v>11</v>
      </c>
      <c r="F743" t="s">
        <v>6</v>
      </c>
      <c r="G743" t="s">
        <v>6</v>
      </c>
      <c r="H743" t="s">
        <v>20</v>
      </c>
      <c r="I743" t="s">
        <v>8</v>
      </c>
      <c r="J743">
        <v>17</v>
      </c>
      <c r="K743">
        <v>2956</v>
      </c>
      <c r="L743">
        <v>50252</v>
      </c>
      <c r="M743">
        <v>37882.31</v>
      </c>
      <c r="N743">
        <v>12369.69</v>
      </c>
      <c r="O743" t="str">
        <f>TEXT(Table1[[#This Row],[Order_Date]],"yyy")</f>
        <v>2025</v>
      </c>
    </row>
    <row r="744" spans="1:15" x14ac:dyDescent="0.3">
      <c r="A744" t="s">
        <v>794</v>
      </c>
      <c r="B744" s="1">
        <v>45392</v>
      </c>
      <c r="C744" t="s">
        <v>10</v>
      </c>
      <c r="D744" t="s">
        <v>9</v>
      </c>
      <c r="E744" t="s">
        <v>4</v>
      </c>
      <c r="F744" t="s">
        <v>36</v>
      </c>
      <c r="G744" t="s">
        <v>36</v>
      </c>
      <c r="H744" t="s">
        <v>7</v>
      </c>
      <c r="I744" t="s">
        <v>8</v>
      </c>
      <c r="J744">
        <v>15</v>
      </c>
      <c r="K744">
        <v>161</v>
      </c>
      <c r="L744">
        <v>2415</v>
      </c>
      <c r="M744">
        <v>1827.71</v>
      </c>
      <c r="N744">
        <v>587.29</v>
      </c>
      <c r="O744" t="str">
        <f>TEXT(Table1[[#This Row],[Order_Date]],"yyy")</f>
        <v>2024</v>
      </c>
    </row>
    <row r="745" spans="1:15" x14ac:dyDescent="0.3">
      <c r="A745" t="s">
        <v>795</v>
      </c>
      <c r="B745" s="1">
        <v>45798</v>
      </c>
      <c r="C745" t="s">
        <v>17</v>
      </c>
      <c r="D745" t="s">
        <v>28</v>
      </c>
      <c r="E745" t="s">
        <v>11</v>
      </c>
      <c r="F745" t="s">
        <v>19</v>
      </c>
      <c r="G745" t="s">
        <v>19</v>
      </c>
      <c r="H745" t="s">
        <v>27</v>
      </c>
      <c r="I745" t="s">
        <v>15</v>
      </c>
      <c r="J745">
        <v>13</v>
      </c>
      <c r="K745">
        <v>3343</v>
      </c>
      <c r="L745">
        <v>43459</v>
      </c>
      <c r="M745">
        <v>31708.21</v>
      </c>
      <c r="N745">
        <v>11750.79</v>
      </c>
      <c r="O745" t="str">
        <f>TEXT(Table1[[#This Row],[Order_Date]],"yyy")</f>
        <v>2025</v>
      </c>
    </row>
    <row r="746" spans="1:15" x14ac:dyDescent="0.3">
      <c r="A746" t="s">
        <v>796</v>
      </c>
      <c r="B746" s="1">
        <v>45602</v>
      </c>
      <c r="C746" t="s">
        <v>3</v>
      </c>
      <c r="D746" t="s">
        <v>9</v>
      </c>
      <c r="E746" t="s">
        <v>4</v>
      </c>
      <c r="F746" t="s">
        <v>23</v>
      </c>
      <c r="G746" t="s">
        <v>23</v>
      </c>
      <c r="H746" t="s">
        <v>7</v>
      </c>
      <c r="I746" t="s">
        <v>15</v>
      </c>
      <c r="J746">
        <v>7</v>
      </c>
      <c r="K746">
        <v>1999</v>
      </c>
      <c r="L746">
        <v>13993</v>
      </c>
      <c r="M746">
        <v>9881.43</v>
      </c>
      <c r="N746">
        <v>4111.57</v>
      </c>
      <c r="O746" t="str">
        <f>TEXT(Table1[[#This Row],[Order_Date]],"yyy")</f>
        <v>2024</v>
      </c>
    </row>
    <row r="747" spans="1:15" x14ac:dyDescent="0.3">
      <c r="A747" t="s">
        <v>797</v>
      </c>
      <c r="B747" s="1">
        <v>45837</v>
      </c>
      <c r="C747" t="s">
        <v>3</v>
      </c>
      <c r="D747" t="s">
        <v>21</v>
      </c>
      <c r="E747" t="s">
        <v>18</v>
      </c>
      <c r="F747" t="s">
        <v>26</v>
      </c>
      <c r="G747" t="s">
        <v>26</v>
      </c>
      <c r="H747" t="s">
        <v>27</v>
      </c>
      <c r="I747" t="s">
        <v>8</v>
      </c>
      <c r="J747">
        <v>4</v>
      </c>
      <c r="K747">
        <v>694</v>
      </c>
      <c r="L747">
        <v>2776</v>
      </c>
      <c r="M747">
        <v>1884.11</v>
      </c>
      <c r="N747">
        <v>891.89</v>
      </c>
      <c r="O747" t="str">
        <f>TEXT(Table1[[#This Row],[Order_Date]],"yyy")</f>
        <v>2025</v>
      </c>
    </row>
    <row r="748" spans="1:15" x14ac:dyDescent="0.3">
      <c r="A748" t="s">
        <v>798</v>
      </c>
      <c r="B748" s="1">
        <v>45871</v>
      </c>
      <c r="C748" t="s">
        <v>3</v>
      </c>
      <c r="D748" t="s">
        <v>21</v>
      </c>
      <c r="E748" t="s">
        <v>4</v>
      </c>
      <c r="F748" t="s">
        <v>23</v>
      </c>
      <c r="G748" t="s">
        <v>23</v>
      </c>
      <c r="H748" t="s">
        <v>14</v>
      </c>
      <c r="I748" t="s">
        <v>15</v>
      </c>
      <c r="J748">
        <v>13</v>
      </c>
      <c r="K748">
        <v>3599</v>
      </c>
      <c r="L748">
        <v>46787</v>
      </c>
      <c r="M748">
        <v>30329.45</v>
      </c>
      <c r="N748">
        <v>16457.55</v>
      </c>
      <c r="O748" t="str">
        <f>TEXT(Table1[[#This Row],[Order_Date]],"yyy")</f>
        <v>2025</v>
      </c>
    </row>
    <row r="749" spans="1:15" x14ac:dyDescent="0.3">
      <c r="A749" t="s">
        <v>799</v>
      </c>
      <c r="B749" s="1">
        <v>45446</v>
      </c>
      <c r="C749" t="s">
        <v>10</v>
      </c>
      <c r="D749" t="s">
        <v>25</v>
      </c>
      <c r="E749" t="s">
        <v>18</v>
      </c>
      <c r="F749" t="s">
        <v>26</v>
      </c>
      <c r="G749" t="s">
        <v>26</v>
      </c>
      <c r="H749" t="s">
        <v>27</v>
      </c>
      <c r="I749" t="s">
        <v>8</v>
      </c>
      <c r="J749">
        <v>14</v>
      </c>
      <c r="K749">
        <v>323</v>
      </c>
      <c r="L749">
        <v>4522</v>
      </c>
      <c r="M749">
        <v>2661.34</v>
      </c>
      <c r="N749">
        <v>1860.66</v>
      </c>
      <c r="O749" t="str">
        <f>TEXT(Table1[[#This Row],[Order_Date]],"yyy")</f>
        <v>2024</v>
      </c>
    </row>
    <row r="750" spans="1:15" x14ac:dyDescent="0.3">
      <c r="A750" t="s">
        <v>800</v>
      </c>
      <c r="B750" s="1">
        <v>45882</v>
      </c>
      <c r="C750" t="s">
        <v>22</v>
      </c>
      <c r="D750" t="s">
        <v>16</v>
      </c>
      <c r="E750" t="s">
        <v>11</v>
      </c>
      <c r="F750" t="s">
        <v>13</v>
      </c>
      <c r="G750" t="s">
        <v>13</v>
      </c>
      <c r="H750" t="s">
        <v>20</v>
      </c>
      <c r="I750" t="s">
        <v>15</v>
      </c>
      <c r="J750">
        <v>11</v>
      </c>
      <c r="K750">
        <v>4005</v>
      </c>
      <c r="L750">
        <v>44055</v>
      </c>
      <c r="M750">
        <v>37211.370000000003</v>
      </c>
      <c r="N750">
        <v>6843.63</v>
      </c>
      <c r="O750" t="str">
        <f>TEXT(Table1[[#This Row],[Order_Date]],"yyy")</f>
        <v>2025</v>
      </c>
    </row>
    <row r="751" spans="1:15" x14ac:dyDescent="0.3">
      <c r="A751" t="s">
        <v>801</v>
      </c>
      <c r="B751" s="1">
        <v>45538</v>
      </c>
      <c r="C751" t="s">
        <v>17</v>
      </c>
      <c r="D751" t="s">
        <v>16</v>
      </c>
      <c r="E751" t="s">
        <v>18</v>
      </c>
      <c r="F751" t="s">
        <v>26</v>
      </c>
      <c r="G751" t="s">
        <v>26</v>
      </c>
      <c r="H751" t="s">
        <v>35</v>
      </c>
      <c r="I751" t="s">
        <v>8</v>
      </c>
      <c r="J751">
        <v>11</v>
      </c>
      <c r="K751">
        <v>4661</v>
      </c>
      <c r="L751">
        <v>51271</v>
      </c>
      <c r="M751">
        <v>38015.040000000001</v>
      </c>
      <c r="N751">
        <v>13255.96</v>
      </c>
      <c r="O751" t="str">
        <f>TEXT(Table1[[#This Row],[Order_Date]],"yyy")</f>
        <v>2024</v>
      </c>
    </row>
    <row r="752" spans="1:15" x14ac:dyDescent="0.3">
      <c r="A752" t="s">
        <v>802</v>
      </c>
      <c r="B752" s="1">
        <v>45574</v>
      </c>
      <c r="C752" t="s">
        <v>10</v>
      </c>
      <c r="D752" t="s">
        <v>16</v>
      </c>
      <c r="E752" t="s">
        <v>18</v>
      </c>
      <c r="F752" t="s">
        <v>29</v>
      </c>
      <c r="G752" t="s">
        <v>29</v>
      </c>
      <c r="H752" t="s">
        <v>20</v>
      </c>
      <c r="I752" t="s">
        <v>15</v>
      </c>
      <c r="J752">
        <v>1</v>
      </c>
      <c r="K752">
        <v>1221</v>
      </c>
      <c r="L752">
        <v>1221</v>
      </c>
      <c r="M752">
        <v>909.49</v>
      </c>
      <c r="N752">
        <v>311.51</v>
      </c>
      <c r="O752" t="str">
        <f>TEXT(Table1[[#This Row],[Order_Date]],"yyy")</f>
        <v>2024</v>
      </c>
    </row>
    <row r="753" spans="1:15" x14ac:dyDescent="0.3">
      <c r="A753" t="s">
        <v>803</v>
      </c>
      <c r="B753" s="1">
        <v>45691</v>
      </c>
      <c r="C753" t="s">
        <v>17</v>
      </c>
      <c r="D753" t="s">
        <v>25</v>
      </c>
      <c r="E753" t="s">
        <v>4</v>
      </c>
      <c r="F753" t="s">
        <v>32</v>
      </c>
      <c r="G753" t="s">
        <v>32</v>
      </c>
      <c r="H753" t="s">
        <v>14</v>
      </c>
      <c r="I753" t="s">
        <v>8</v>
      </c>
      <c r="J753">
        <v>2</v>
      </c>
      <c r="K753">
        <v>1185</v>
      </c>
      <c r="L753">
        <v>2370</v>
      </c>
      <c r="M753">
        <v>1501.64</v>
      </c>
      <c r="N753">
        <v>868.36</v>
      </c>
      <c r="O753" t="str">
        <f>TEXT(Table1[[#This Row],[Order_Date]],"yyy")</f>
        <v>2025</v>
      </c>
    </row>
    <row r="754" spans="1:15" x14ac:dyDescent="0.3">
      <c r="A754" t="s">
        <v>804</v>
      </c>
      <c r="B754" s="1">
        <v>45974</v>
      </c>
      <c r="C754" t="s">
        <v>22</v>
      </c>
      <c r="D754" t="s">
        <v>21</v>
      </c>
      <c r="E754" t="s">
        <v>18</v>
      </c>
      <c r="F754" t="s">
        <v>26</v>
      </c>
      <c r="G754" t="s">
        <v>26</v>
      </c>
      <c r="H754" t="s">
        <v>20</v>
      </c>
      <c r="I754" t="s">
        <v>15</v>
      </c>
      <c r="J754">
        <v>15</v>
      </c>
      <c r="K754">
        <v>3231</v>
      </c>
      <c r="L754">
        <v>48465</v>
      </c>
      <c r="M754">
        <v>36852.85</v>
      </c>
      <c r="N754">
        <v>11612.15</v>
      </c>
      <c r="O754" t="str">
        <f>TEXT(Table1[[#This Row],[Order_Date]],"yyy")</f>
        <v>2025</v>
      </c>
    </row>
    <row r="755" spans="1:15" x14ac:dyDescent="0.3">
      <c r="A755" t="s">
        <v>805</v>
      </c>
      <c r="B755" s="1">
        <v>45537</v>
      </c>
      <c r="C755" t="s">
        <v>10</v>
      </c>
      <c r="D755" t="s">
        <v>16</v>
      </c>
      <c r="E755" t="s">
        <v>4</v>
      </c>
      <c r="F755" t="s">
        <v>23</v>
      </c>
      <c r="G755" t="s">
        <v>23</v>
      </c>
      <c r="H755" t="s">
        <v>33</v>
      </c>
      <c r="I755" t="s">
        <v>8</v>
      </c>
      <c r="J755">
        <v>16</v>
      </c>
      <c r="K755">
        <v>837</v>
      </c>
      <c r="L755">
        <v>13392</v>
      </c>
      <c r="M755">
        <v>8454.6299999999992</v>
      </c>
      <c r="N755">
        <v>4937.37</v>
      </c>
      <c r="O755" t="str">
        <f>TEXT(Table1[[#This Row],[Order_Date]],"yyy")</f>
        <v>2024</v>
      </c>
    </row>
    <row r="756" spans="1:15" x14ac:dyDescent="0.3">
      <c r="A756" t="s">
        <v>806</v>
      </c>
      <c r="B756" s="1">
        <v>45593</v>
      </c>
      <c r="C756" t="s">
        <v>3</v>
      </c>
      <c r="D756" t="s">
        <v>25</v>
      </c>
      <c r="E756" t="s">
        <v>4</v>
      </c>
      <c r="F756" t="s">
        <v>32</v>
      </c>
      <c r="G756" t="s">
        <v>32</v>
      </c>
      <c r="H756" t="s">
        <v>20</v>
      </c>
      <c r="I756" t="s">
        <v>8</v>
      </c>
      <c r="J756">
        <v>1</v>
      </c>
      <c r="K756">
        <v>3538</v>
      </c>
      <c r="L756">
        <v>3538</v>
      </c>
      <c r="M756">
        <v>2011.55</v>
      </c>
      <c r="N756">
        <v>1526.45</v>
      </c>
      <c r="O756" t="str">
        <f>TEXT(Table1[[#This Row],[Order_Date]],"yyy")</f>
        <v>2024</v>
      </c>
    </row>
    <row r="757" spans="1:15" x14ac:dyDescent="0.3">
      <c r="A757" t="s">
        <v>807</v>
      </c>
      <c r="B757" s="1">
        <v>45500</v>
      </c>
      <c r="C757" t="s">
        <v>3</v>
      </c>
      <c r="D757" t="s">
        <v>21</v>
      </c>
      <c r="E757" t="s">
        <v>18</v>
      </c>
      <c r="F757" t="s">
        <v>29</v>
      </c>
      <c r="G757" t="s">
        <v>29</v>
      </c>
      <c r="H757" t="s">
        <v>35</v>
      </c>
      <c r="I757" t="s">
        <v>15</v>
      </c>
      <c r="J757">
        <v>12</v>
      </c>
      <c r="K757">
        <v>4997</v>
      </c>
      <c r="L757">
        <v>59964</v>
      </c>
      <c r="M757">
        <v>40825.33</v>
      </c>
      <c r="N757">
        <v>19138.669999999998</v>
      </c>
      <c r="O757" t="str">
        <f>TEXT(Table1[[#This Row],[Order_Date]],"yyy")</f>
        <v>2024</v>
      </c>
    </row>
    <row r="758" spans="1:15" x14ac:dyDescent="0.3">
      <c r="A758" t="s">
        <v>808</v>
      </c>
      <c r="B758" s="1">
        <v>45456</v>
      </c>
      <c r="C758" t="s">
        <v>3</v>
      </c>
      <c r="D758" t="s">
        <v>31</v>
      </c>
      <c r="E758" t="s">
        <v>4</v>
      </c>
      <c r="F758" t="s">
        <v>23</v>
      </c>
      <c r="G758" t="s">
        <v>23</v>
      </c>
      <c r="H758" t="s">
        <v>14</v>
      </c>
      <c r="I758" t="s">
        <v>8</v>
      </c>
      <c r="J758">
        <v>9</v>
      </c>
      <c r="K758">
        <v>4260</v>
      </c>
      <c r="L758">
        <v>38340</v>
      </c>
      <c r="M758">
        <v>28231.65</v>
      </c>
      <c r="N758">
        <v>10108.35</v>
      </c>
      <c r="O758" t="str">
        <f>TEXT(Table1[[#This Row],[Order_Date]],"yyy")</f>
        <v>2024</v>
      </c>
    </row>
    <row r="759" spans="1:15" x14ac:dyDescent="0.3">
      <c r="A759" t="s">
        <v>809</v>
      </c>
      <c r="B759" s="1">
        <v>45939</v>
      </c>
      <c r="C759" t="s">
        <v>22</v>
      </c>
      <c r="D759" t="s">
        <v>25</v>
      </c>
      <c r="E759" t="s">
        <v>4</v>
      </c>
      <c r="F759" t="s">
        <v>23</v>
      </c>
      <c r="G759" t="s">
        <v>23</v>
      </c>
      <c r="H759" t="s">
        <v>24</v>
      </c>
      <c r="I759" t="s">
        <v>15</v>
      </c>
      <c r="J759">
        <v>10</v>
      </c>
      <c r="K759">
        <v>4304</v>
      </c>
      <c r="L759">
        <v>43040</v>
      </c>
      <c r="M759">
        <v>28529.43</v>
      </c>
      <c r="N759">
        <v>14510.57</v>
      </c>
      <c r="O759" t="str">
        <f>TEXT(Table1[[#This Row],[Order_Date]],"yyy")</f>
        <v>2025</v>
      </c>
    </row>
    <row r="760" spans="1:15" x14ac:dyDescent="0.3">
      <c r="A760" t="s">
        <v>810</v>
      </c>
      <c r="B760" s="1">
        <v>45998</v>
      </c>
      <c r="C760" t="s">
        <v>22</v>
      </c>
      <c r="D760" t="s">
        <v>28</v>
      </c>
      <c r="E760" t="s">
        <v>18</v>
      </c>
      <c r="F760" t="s">
        <v>34</v>
      </c>
      <c r="G760" t="s">
        <v>34</v>
      </c>
      <c r="H760" t="s">
        <v>7</v>
      </c>
      <c r="I760" t="s">
        <v>8</v>
      </c>
      <c r="J760">
        <v>16</v>
      </c>
      <c r="K760">
        <v>4801</v>
      </c>
      <c r="L760">
        <v>76816</v>
      </c>
      <c r="M760">
        <v>56559.3</v>
      </c>
      <c r="N760">
        <v>20256.7</v>
      </c>
      <c r="O760" t="str">
        <f>TEXT(Table1[[#This Row],[Order_Date]],"yyy")</f>
        <v>2025</v>
      </c>
    </row>
    <row r="761" spans="1:15" x14ac:dyDescent="0.3">
      <c r="A761" t="s">
        <v>811</v>
      </c>
      <c r="B761" s="1">
        <v>46008</v>
      </c>
      <c r="C761" t="s">
        <v>3</v>
      </c>
      <c r="D761" t="s">
        <v>31</v>
      </c>
      <c r="E761" t="s">
        <v>18</v>
      </c>
      <c r="F761" t="s">
        <v>29</v>
      </c>
      <c r="G761" t="s">
        <v>29</v>
      </c>
      <c r="H761" t="s">
        <v>35</v>
      </c>
      <c r="I761" t="s">
        <v>8</v>
      </c>
      <c r="J761">
        <v>7</v>
      </c>
      <c r="K761">
        <v>774</v>
      </c>
      <c r="L761">
        <v>5418</v>
      </c>
      <c r="M761">
        <v>4269.55</v>
      </c>
      <c r="N761">
        <v>1148.45</v>
      </c>
      <c r="O761" t="str">
        <f>TEXT(Table1[[#This Row],[Order_Date]],"yyy")</f>
        <v>2025</v>
      </c>
    </row>
    <row r="762" spans="1:15" x14ac:dyDescent="0.3">
      <c r="A762" t="s">
        <v>812</v>
      </c>
      <c r="B762" s="1">
        <v>45518</v>
      </c>
      <c r="C762" t="s">
        <v>10</v>
      </c>
      <c r="D762" t="s">
        <v>28</v>
      </c>
      <c r="E762" t="s">
        <v>4</v>
      </c>
      <c r="F762" t="s">
        <v>23</v>
      </c>
      <c r="G762" t="s">
        <v>23</v>
      </c>
      <c r="H762" t="s">
        <v>14</v>
      </c>
      <c r="I762" t="s">
        <v>15</v>
      </c>
      <c r="J762">
        <v>18</v>
      </c>
      <c r="K762">
        <v>3762</v>
      </c>
      <c r="L762">
        <v>67716</v>
      </c>
      <c r="M762">
        <v>51524.07</v>
      </c>
      <c r="N762">
        <v>16191.93</v>
      </c>
      <c r="O762" t="str">
        <f>TEXT(Table1[[#This Row],[Order_Date]],"yyy")</f>
        <v>2024</v>
      </c>
    </row>
    <row r="763" spans="1:15" x14ac:dyDescent="0.3">
      <c r="A763" t="s">
        <v>813</v>
      </c>
      <c r="B763" s="1">
        <v>45508</v>
      </c>
      <c r="C763" t="s">
        <v>17</v>
      </c>
      <c r="D763" t="s">
        <v>25</v>
      </c>
      <c r="E763" t="s">
        <v>4</v>
      </c>
      <c r="F763" t="s">
        <v>32</v>
      </c>
      <c r="G763" t="s">
        <v>32</v>
      </c>
      <c r="H763" t="s">
        <v>14</v>
      </c>
      <c r="I763" t="s">
        <v>15</v>
      </c>
      <c r="J763">
        <v>17</v>
      </c>
      <c r="K763">
        <v>1221</v>
      </c>
      <c r="L763">
        <v>20757</v>
      </c>
      <c r="M763">
        <v>16768.25</v>
      </c>
      <c r="N763">
        <v>3988.75</v>
      </c>
      <c r="O763" t="str">
        <f>TEXT(Table1[[#This Row],[Order_Date]],"yyy")</f>
        <v>2024</v>
      </c>
    </row>
    <row r="764" spans="1:15" x14ac:dyDescent="0.3">
      <c r="A764" t="s">
        <v>814</v>
      </c>
      <c r="B764" s="1">
        <v>45978</v>
      </c>
      <c r="C764" t="s">
        <v>10</v>
      </c>
      <c r="D764" t="s">
        <v>9</v>
      </c>
      <c r="E764" t="s">
        <v>18</v>
      </c>
      <c r="F764" t="s">
        <v>34</v>
      </c>
      <c r="G764" t="s">
        <v>34</v>
      </c>
      <c r="H764" t="s">
        <v>35</v>
      </c>
      <c r="I764" t="s">
        <v>8</v>
      </c>
      <c r="J764">
        <v>18</v>
      </c>
      <c r="K764">
        <v>925</v>
      </c>
      <c r="L764">
        <v>16650</v>
      </c>
      <c r="M764">
        <v>12163.86</v>
      </c>
      <c r="N764">
        <v>4486.1400000000003</v>
      </c>
      <c r="O764" t="str">
        <f>TEXT(Table1[[#This Row],[Order_Date]],"yyy")</f>
        <v>2025</v>
      </c>
    </row>
    <row r="765" spans="1:15" x14ac:dyDescent="0.3">
      <c r="A765" t="s">
        <v>815</v>
      </c>
      <c r="B765" s="1">
        <v>45334</v>
      </c>
      <c r="C765" t="s">
        <v>17</v>
      </c>
      <c r="D765" t="s">
        <v>31</v>
      </c>
      <c r="E765" t="s">
        <v>11</v>
      </c>
      <c r="F765" t="s">
        <v>13</v>
      </c>
      <c r="G765" t="s">
        <v>13</v>
      </c>
      <c r="H765" t="s">
        <v>14</v>
      </c>
      <c r="I765" t="s">
        <v>8</v>
      </c>
      <c r="J765">
        <v>12</v>
      </c>
      <c r="K765">
        <v>843</v>
      </c>
      <c r="L765">
        <v>10116</v>
      </c>
      <c r="M765">
        <v>6203.79</v>
      </c>
      <c r="N765">
        <v>3912.21</v>
      </c>
      <c r="O765" t="str">
        <f>TEXT(Table1[[#This Row],[Order_Date]],"yyy")</f>
        <v>2024</v>
      </c>
    </row>
    <row r="766" spans="1:15" x14ac:dyDescent="0.3">
      <c r="A766" t="s">
        <v>816</v>
      </c>
      <c r="B766" s="1">
        <v>45345</v>
      </c>
      <c r="C766" t="s">
        <v>10</v>
      </c>
      <c r="D766" t="s">
        <v>28</v>
      </c>
      <c r="E766" t="s">
        <v>18</v>
      </c>
      <c r="F766" t="s">
        <v>29</v>
      </c>
      <c r="G766" t="s">
        <v>29</v>
      </c>
      <c r="H766" t="s">
        <v>33</v>
      </c>
      <c r="I766" t="s">
        <v>15</v>
      </c>
      <c r="J766">
        <v>16</v>
      </c>
      <c r="K766">
        <v>2374</v>
      </c>
      <c r="L766">
        <v>37984</v>
      </c>
      <c r="M766">
        <v>30757.82</v>
      </c>
      <c r="N766">
        <v>7226.18</v>
      </c>
      <c r="O766" t="str">
        <f>TEXT(Table1[[#This Row],[Order_Date]],"yyy")</f>
        <v>2024</v>
      </c>
    </row>
    <row r="767" spans="1:15" x14ac:dyDescent="0.3">
      <c r="A767" t="s">
        <v>817</v>
      </c>
      <c r="B767" s="1">
        <v>45849</v>
      </c>
      <c r="C767" t="s">
        <v>3</v>
      </c>
      <c r="D767" t="s">
        <v>25</v>
      </c>
      <c r="E767" t="s">
        <v>4</v>
      </c>
      <c r="F767" t="s">
        <v>32</v>
      </c>
      <c r="G767" t="s">
        <v>32</v>
      </c>
      <c r="H767" t="s">
        <v>24</v>
      </c>
      <c r="I767" t="s">
        <v>15</v>
      </c>
      <c r="J767">
        <v>19</v>
      </c>
      <c r="K767">
        <v>4754</v>
      </c>
      <c r="L767">
        <v>90326</v>
      </c>
      <c r="M767">
        <v>50625.83</v>
      </c>
      <c r="N767">
        <v>39700.17</v>
      </c>
      <c r="O767" t="str">
        <f>TEXT(Table1[[#This Row],[Order_Date]],"yyy")</f>
        <v>2025</v>
      </c>
    </row>
    <row r="768" spans="1:15" x14ac:dyDescent="0.3">
      <c r="A768" t="s">
        <v>818</v>
      </c>
      <c r="B768" s="1">
        <v>45312</v>
      </c>
      <c r="C768" t="s">
        <v>3</v>
      </c>
      <c r="D768" t="s">
        <v>21</v>
      </c>
      <c r="E768" t="s">
        <v>11</v>
      </c>
      <c r="F768" t="s">
        <v>19</v>
      </c>
      <c r="G768" t="s">
        <v>19</v>
      </c>
      <c r="H768" t="s">
        <v>24</v>
      </c>
      <c r="I768" t="s">
        <v>8</v>
      </c>
      <c r="J768">
        <v>2</v>
      </c>
      <c r="K768">
        <v>3175</v>
      </c>
      <c r="L768">
        <v>6350</v>
      </c>
      <c r="M768">
        <v>3717.97</v>
      </c>
      <c r="N768">
        <v>2632.03</v>
      </c>
      <c r="O768" t="str">
        <f>TEXT(Table1[[#This Row],[Order_Date]],"yyy")</f>
        <v>2024</v>
      </c>
    </row>
    <row r="769" spans="1:15" x14ac:dyDescent="0.3">
      <c r="A769" t="s">
        <v>819</v>
      </c>
      <c r="B769" s="1">
        <v>45306</v>
      </c>
      <c r="C769" t="s">
        <v>10</v>
      </c>
      <c r="D769" t="s">
        <v>16</v>
      </c>
      <c r="E769" t="s">
        <v>4</v>
      </c>
      <c r="F769" t="s">
        <v>23</v>
      </c>
      <c r="G769" t="s">
        <v>23</v>
      </c>
      <c r="H769" t="s">
        <v>33</v>
      </c>
      <c r="I769" t="s">
        <v>15</v>
      </c>
      <c r="J769">
        <v>7</v>
      </c>
      <c r="K769">
        <v>2109</v>
      </c>
      <c r="L769">
        <v>14763</v>
      </c>
      <c r="M769">
        <v>12191.33</v>
      </c>
      <c r="N769">
        <v>2571.67</v>
      </c>
      <c r="O769" t="str">
        <f>TEXT(Table1[[#This Row],[Order_Date]],"yyy")</f>
        <v>2024</v>
      </c>
    </row>
    <row r="770" spans="1:15" x14ac:dyDescent="0.3">
      <c r="A770" t="s">
        <v>820</v>
      </c>
      <c r="B770" s="1">
        <v>45329</v>
      </c>
      <c r="C770" t="s">
        <v>10</v>
      </c>
      <c r="D770" t="s">
        <v>16</v>
      </c>
      <c r="E770" t="s">
        <v>11</v>
      </c>
      <c r="F770" t="s">
        <v>6</v>
      </c>
      <c r="G770" t="s">
        <v>6</v>
      </c>
      <c r="H770" t="s">
        <v>20</v>
      </c>
      <c r="I770" t="s">
        <v>8</v>
      </c>
      <c r="J770">
        <v>17</v>
      </c>
      <c r="K770">
        <v>4258</v>
      </c>
      <c r="L770">
        <v>72386</v>
      </c>
      <c r="M770">
        <v>57903.63</v>
      </c>
      <c r="N770">
        <v>14482.37</v>
      </c>
      <c r="O770" t="str">
        <f>TEXT(Table1[[#This Row],[Order_Date]],"yyy")</f>
        <v>2024</v>
      </c>
    </row>
    <row r="771" spans="1:15" x14ac:dyDescent="0.3">
      <c r="A771" t="s">
        <v>821</v>
      </c>
      <c r="B771" s="1">
        <v>45673</v>
      </c>
      <c r="C771" t="s">
        <v>17</v>
      </c>
      <c r="D771" t="s">
        <v>28</v>
      </c>
      <c r="E771" t="s">
        <v>4</v>
      </c>
      <c r="F771" t="s">
        <v>36</v>
      </c>
      <c r="G771" t="s">
        <v>36</v>
      </c>
      <c r="H771" t="s">
        <v>33</v>
      </c>
      <c r="I771" t="s">
        <v>15</v>
      </c>
      <c r="J771">
        <v>20</v>
      </c>
      <c r="K771">
        <v>4111</v>
      </c>
      <c r="L771">
        <v>82220</v>
      </c>
      <c r="M771">
        <v>53161.73</v>
      </c>
      <c r="N771">
        <v>29058.27</v>
      </c>
      <c r="O771" t="str">
        <f>TEXT(Table1[[#This Row],[Order_Date]],"yyy")</f>
        <v>2025</v>
      </c>
    </row>
    <row r="772" spans="1:15" x14ac:dyDescent="0.3">
      <c r="A772" t="s">
        <v>822</v>
      </c>
      <c r="B772" s="1">
        <v>45452</v>
      </c>
      <c r="C772" t="s">
        <v>3</v>
      </c>
      <c r="D772" t="s">
        <v>31</v>
      </c>
      <c r="E772" t="s">
        <v>11</v>
      </c>
      <c r="F772" t="s">
        <v>19</v>
      </c>
      <c r="G772" t="s">
        <v>19</v>
      </c>
      <c r="H772" t="s">
        <v>24</v>
      </c>
      <c r="I772" t="s">
        <v>8</v>
      </c>
      <c r="J772">
        <v>7</v>
      </c>
      <c r="K772">
        <v>4484</v>
      </c>
      <c r="L772">
        <v>31388</v>
      </c>
      <c r="M772">
        <v>26346.98</v>
      </c>
      <c r="N772">
        <v>5041.0200000000004</v>
      </c>
      <c r="O772" t="str">
        <f>TEXT(Table1[[#This Row],[Order_Date]],"yyy")</f>
        <v>2024</v>
      </c>
    </row>
    <row r="773" spans="1:15" x14ac:dyDescent="0.3">
      <c r="A773" t="s">
        <v>823</v>
      </c>
      <c r="B773" s="1">
        <v>45986</v>
      </c>
      <c r="C773" t="s">
        <v>17</v>
      </c>
      <c r="D773" t="s">
        <v>25</v>
      </c>
      <c r="E773" t="s">
        <v>11</v>
      </c>
      <c r="F773" t="s">
        <v>13</v>
      </c>
      <c r="G773" t="s">
        <v>13</v>
      </c>
      <c r="H773" t="s">
        <v>7</v>
      </c>
      <c r="I773" t="s">
        <v>8</v>
      </c>
      <c r="J773">
        <v>3</v>
      </c>
      <c r="K773">
        <v>2128</v>
      </c>
      <c r="L773">
        <v>6384</v>
      </c>
      <c r="M773">
        <v>4089.52</v>
      </c>
      <c r="N773">
        <v>2294.48</v>
      </c>
      <c r="O773" t="str">
        <f>TEXT(Table1[[#This Row],[Order_Date]],"yyy")</f>
        <v>2025</v>
      </c>
    </row>
    <row r="774" spans="1:15" x14ac:dyDescent="0.3">
      <c r="A774" t="s">
        <v>824</v>
      </c>
      <c r="B774" s="1">
        <v>45361</v>
      </c>
      <c r="C774" t="s">
        <v>22</v>
      </c>
      <c r="D774" t="s">
        <v>16</v>
      </c>
      <c r="E774" t="s">
        <v>18</v>
      </c>
      <c r="F774" t="s">
        <v>26</v>
      </c>
      <c r="G774" t="s">
        <v>26</v>
      </c>
      <c r="H774" t="s">
        <v>30</v>
      </c>
      <c r="I774" t="s">
        <v>15</v>
      </c>
      <c r="J774">
        <v>4</v>
      </c>
      <c r="K774">
        <v>4331</v>
      </c>
      <c r="L774">
        <v>17324</v>
      </c>
      <c r="M774">
        <v>14068.47</v>
      </c>
      <c r="N774">
        <v>3255.53</v>
      </c>
      <c r="O774" t="str">
        <f>TEXT(Table1[[#This Row],[Order_Date]],"yyy")</f>
        <v>2024</v>
      </c>
    </row>
    <row r="775" spans="1:15" x14ac:dyDescent="0.3">
      <c r="A775" t="s">
        <v>825</v>
      </c>
      <c r="B775" s="1">
        <v>45577</v>
      </c>
      <c r="C775" t="s">
        <v>22</v>
      </c>
      <c r="D775" t="s">
        <v>25</v>
      </c>
      <c r="E775" t="s">
        <v>4</v>
      </c>
      <c r="F775" t="s">
        <v>36</v>
      </c>
      <c r="G775" t="s">
        <v>36</v>
      </c>
      <c r="H775" t="s">
        <v>7</v>
      </c>
      <c r="I775" t="s">
        <v>15</v>
      </c>
      <c r="J775">
        <v>16</v>
      </c>
      <c r="K775">
        <v>4608</v>
      </c>
      <c r="L775">
        <v>73728</v>
      </c>
      <c r="M775">
        <v>62194.23</v>
      </c>
      <c r="N775">
        <v>11533.77</v>
      </c>
      <c r="O775" t="str">
        <f>TEXT(Table1[[#This Row],[Order_Date]],"yyy")</f>
        <v>2024</v>
      </c>
    </row>
    <row r="776" spans="1:15" x14ac:dyDescent="0.3">
      <c r="A776" t="s">
        <v>826</v>
      </c>
      <c r="B776" s="1">
        <v>45319</v>
      </c>
      <c r="C776" t="s">
        <v>3</v>
      </c>
      <c r="D776" t="s">
        <v>25</v>
      </c>
      <c r="E776" t="s">
        <v>11</v>
      </c>
      <c r="F776" t="s">
        <v>19</v>
      </c>
      <c r="G776" t="s">
        <v>19</v>
      </c>
      <c r="H776" t="s">
        <v>20</v>
      </c>
      <c r="I776" t="s">
        <v>15</v>
      </c>
      <c r="J776">
        <v>20</v>
      </c>
      <c r="K776">
        <v>197</v>
      </c>
      <c r="L776">
        <v>3940</v>
      </c>
      <c r="M776">
        <v>3318.97</v>
      </c>
      <c r="N776">
        <v>621.03</v>
      </c>
      <c r="O776" t="str">
        <f>TEXT(Table1[[#This Row],[Order_Date]],"yyy")</f>
        <v>2024</v>
      </c>
    </row>
    <row r="777" spans="1:15" x14ac:dyDescent="0.3">
      <c r="A777" t="s">
        <v>827</v>
      </c>
      <c r="B777" s="1">
        <v>45783</v>
      </c>
      <c r="C777" t="s">
        <v>17</v>
      </c>
      <c r="D777" t="s">
        <v>28</v>
      </c>
      <c r="E777" t="s">
        <v>4</v>
      </c>
      <c r="F777" t="s">
        <v>23</v>
      </c>
      <c r="G777" t="s">
        <v>23</v>
      </c>
      <c r="H777" t="s">
        <v>7</v>
      </c>
      <c r="I777" t="s">
        <v>15</v>
      </c>
      <c r="J777">
        <v>20</v>
      </c>
      <c r="K777">
        <v>4962</v>
      </c>
      <c r="L777">
        <v>99240</v>
      </c>
      <c r="M777">
        <v>80934.78</v>
      </c>
      <c r="N777">
        <v>18305.22</v>
      </c>
      <c r="O777" t="str">
        <f>TEXT(Table1[[#This Row],[Order_Date]],"yyy")</f>
        <v>2025</v>
      </c>
    </row>
    <row r="778" spans="1:15" x14ac:dyDescent="0.3">
      <c r="A778" t="s">
        <v>828</v>
      </c>
      <c r="B778" s="1">
        <v>45500</v>
      </c>
      <c r="C778" t="s">
        <v>3</v>
      </c>
      <c r="D778" t="s">
        <v>16</v>
      </c>
      <c r="E778" t="s">
        <v>18</v>
      </c>
      <c r="F778" t="s">
        <v>29</v>
      </c>
      <c r="G778" t="s">
        <v>29</v>
      </c>
      <c r="H778" t="s">
        <v>35</v>
      </c>
      <c r="I778" t="s">
        <v>8</v>
      </c>
      <c r="J778">
        <v>12</v>
      </c>
      <c r="K778">
        <v>2964</v>
      </c>
      <c r="L778">
        <v>35568</v>
      </c>
      <c r="M778">
        <v>23117.67</v>
      </c>
      <c r="N778">
        <v>12450.33</v>
      </c>
      <c r="O778" t="str">
        <f>TEXT(Table1[[#This Row],[Order_Date]],"yyy")</f>
        <v>2024</v>
      </c>
    </row>
    <row r="779" spans="1:15" x14ac:dyDescent="0.3">
      <c r="A779" t="s">
        <v>829</v>
      </c>
      <c r="B779" s="1">
        <v>45843</v>
      </c>
      <c r="C779" t="s">
        <v>17</v>
      </c>
      <c r="D779" t="s">
        <v>28</v>
      </c>
      <c r="E779" t="s">
        <v>11</v>
      </c>
      <c r="F779" t="s">
        <v>13</v>
      </c>
      <c r="G779" t="s">
        <v>13</v>
      </c>
      <c r="H779" t="s">
        <v>35</v>
      </c>
      <c r="I779" t="s">
        <v>8</v>
      </c>
      <c r="J779">
        <v>5</v>
      </c>
      <c r="K779">
        <v>3270</v>
      </c>
      <c r="L779">
        <v>16350</v>
      </c>
      <c r="M779">
        <v>10327.209999999999</v>
      </c>
      <c r="N779">
        <v>6022.79</v>
      </c>
      <c r="O779" t="str">
        <f>TEXT(Table1[[#This Row],[Order_Date]],"yyy")</f>
        <v>2025</v>
      </c>
    </row>
    <row r="780" spans="1:15" x14ac:dyDescent="0.3">
      <c r="A780" t="s">
        <v>830</v>
      </c>
      <c r="B780" s="1">
        <v>45873</v>
      </c>
      <c r="C780" t="s">
        <v>17</v>
      </c>
      <c r="D780" t="s">
        <v>31</v>
      </c>
      <c r="E780" t="s">
        <v>18</v>
      </c>
      <c r="F780" t="s">
        <v>29</v>
      </c>
      <c r="G780" t="s">
        <v>29</v>
      </c>
      <c r="H780" t="s">
        <v>35</v>
      </c>
      <c r="I780" t="s">
        <v>15</v>
      </c>
      <c r="J780">
        <v>2</v>
      </c>
      <c r="K780">
        <v>117</v>
      </c>
      <c r="L780">
        <v>234</v>
      </c>
      <c r="M780">
        <v>129.49</v>
      </c>
      <c r="N780">
        <v>104.51</v>
      </c>
      <c r="O780" t="str">
        <f>TEXT(Table1[[#This Row],[Order_Date]],"yyy")</f>
        <v>2025</v>
      </c>
    </row>
    <row r="781" spans="1:15" x14ac:dyDescent="0.3">
      <c r="A781" t="s">
        <v>831</v>
      </c>
      <c r="B781" s="1">
        <v>45774</v>
      </c>
      <c r="C781" t="s">
        <v>22</v>
      </c>
      <c r="D781" t="s">
        <v>16</v>
      </c>
      <c r="E781" t="s">
        <v>11</v>
      </c>
      <c r="F781" t="s">
        <v>19</v>
      </c>
      <c r="G781" t="s">
        <v>19</v>
      </c>
      <c r="H781" t="s">
        <v>14</v>
      </c>
      <c r="I781" t="s">
        <v>8</v>
      </c>
      <c r="J781">
        <v>18</v>
      </c>
      <c r="K781">
        <v>2596</v>
      </c>
      <c r="L781">
        <v>46728</v>
      </c>
      <c r="M781">
        <v>31582.89</v>
      </c>
      <c r="N781">
        <v>15145.11</v>
      </c>
      <c r="O781" t="str">
        <f>TEXT(Table1[[#This Row],[Order_Date]],"yyy")</f>
        <v>2025</v>
      </c>
    </row>
    <row r="782" spans="1:15" x14ac:dyDescent="0.3">
      <c r="A782" t="s">
        <v>832</v>
      </c>
      <c r="B782" s="1">
        <v>45492</v>
      </c>
      <c r="C782" t="s">
        <v>10</v>
      </c>
      <c r="D782" t="s">
        <v>31</v>
      </c>
      <c r="E782" t="s">
        <v>4</v>
      </c>
      <c r="F782" t="s">
        <v>32</v>
      </c>
      <c r="G782" t="s">
        <v>32</v>
      </c>
      <c r="H782" t="s">
        <v>30</v>
      </c>
      <c r="I782" t="s">
        <v>8</v>
      </c>
      <c r="J782">
        <v>9</v>
      </c>
      <c r="K782">
        <v>1511</v>
      </c>
      <c r="L782">
        <v>13599</v>
      </c>
      <c r="M782">
        <v>7770.53</v>
      </c>
      <c r="N782">
        <v>5828.47</v>
      </c>
      <c r="O782" t="str">
        <f>TEXT(Table1[[#This Row],[Order_Date]],"yyy")</f>
        <v>2024</v>
      </c>
    </row>
    <row r="783" spans="1:15" x14ac:dyDescent="0.3">
      <c r="A783" t="s">
        <v>833</v>
      </c>
      <c r="B783" s="1">
        <v>45424</v>
      </c>
      <c r="C783" t="s">
        <v>22</v>
      </c>
      <c r="D783" t="s">
        <v>21</v>
      </c>
      <c r="E783" t="s">
        <v>4</v>
      </c>
      <c r="F783" t="s">
        <v>32</v>
      </c>
      <c r="G783" t="s">
        <v>32</v>
      </c>
      <c r="H783" t="s">
        <v>7</v>
      </c>
      <c r="I783" t="s">
        <v>8</v>
      </c>
      <c r="J783">
        <v>17</v>
      </c>
      <c r="K783">
        <v>4713</v>
      </c>
      <c r="L783">
        <v>80121</v>
      </c>
      <c r="M783">
        <v>49988.1</v>
      </c>
      <c r="N783">
        <v>30132.9</v>
      </c>
      <c r="O783" t="str">
        <f>TEXT(Table1[[#This Row],[Order_Date]],"yyy")</f>
        <v>2024</v>
      </c>
    </row>
    <row r="784" spans="1:15" x14ac:dyDescent="0.3">
      <c r="A784" t="s">
        <v>834</v>
      </c>
      <c r="B784" s="1">
        <v>45789</v>
      </c>
      <c r="C784" t="s">
        <v>3</v>
      </c>
      <c r="D784" t="s">
        <v>16</v>
      </c>
      <c r="E784" t="s">
        <v>11</v>
      </c>
      <c r="F784" t="s">
        <v>13</v>
      </c>
      <c r="G784" t="s">
        <v>13</v>
      </c>
      <c r="H784" t="s">
        <v>20</v>
      </c>
      <c r="I784" t="s">
        <v>15</v>
      </c>
      <c r="J784">
        <v>12</v>
      </c>
      <c r="K784">
        <v>2421</v>
      </c>
      <c r="L784">
        <v>29052</v>
      </c>
      <c r="M784">
        <v>18574.740000000002</v>
      </c>
      <c r="N784">
        <v>10477.26</v>
      </c>
      <c r="O784" t="str">
        <f>TEXT(Table1[[#This Row],[Order_Date]],"yyy")</f>
        <v>2025</v>
      </c>
    </row>
    <row r="785" spans="1:15" x14ac:dyDescent="0.3">
      <c r="A785" t="s">
        <v>835</v>
      </c>
      <c r="B785" s="1">
        <v>45751</v>
      </c>
      <c r="C785" t="s">
        <v>17</v>
      </c>
      <c r="D785" t="s">
        <v>16</v>
      </c>
      <c r="E785" t="s">
        <v>11</v>
      </c>
      <c r="F785" t="s">
        <v>19</v>
      </c>
      <c r="G785" t="s">
        <v>19</v>
      </c>
      <c r="H785" t="s">
        <v>27</v>
      </c>
      <c r="I785" t="s">
        <v>15</v>
      </c>
      <c r="J785">
        <v>2</v>
      </c>
      <c r="K785">
        <v>165</v>
      </c>
      <c r="L785">
        <v>330</v>
      </c>
      <c r="M785">
        <v>210.9</v>
      </c>
      <c r="N785">
        <v>119.1</v>
      </c>
      <c r="O785" t="str">
        <f>TEXT(Table1[[#This Row],[Order_Date]],"yyy")</f>
        <v>2025</v>
      </c>
    </row>
    <row r="786" spans="1:15" x14ac:dyDescent="0.3">
      <c r="A786" t="s">
        <v>836</v>
      </c>
      <c r="B786" s="1">
        <v>45412</v>
      </c>
      <c r="C786" t="s">
        <v>10</v>
      </c>
      <c r="D786" t="s">
        <v>31</v>
      </c>
      <c r="E786" t="s">
        <v>4</v>
      </c>
      <c r="F786" t="s">
        <v>36</v>
      </c>
      <c r="G786" t="s">
        <v>36</v>
      </c>
      <c r="H786" t="s">
        <v>7</v>
      </c>
      <c r="I786" t="s">
        <v>15</v>
      </c>
      <c r="J786">
        <v>17</v>
      </c>
      <c r="K786">
        <v>892</v>
      </c>
      <c r="L786">
        <v>15164</v>
      </c>
      <c r="M786">
        <v>10747.57</v>
      </c>
      <c r="N786">
        <v>4416.43</v>
      </c>
      <c r="O786" t="str">
        <f>TEXT(Table1[[#This Row],[Order_Date]],"yyy")</f>
        <v>2024</v>
      </c>
    </row>
    <row r="787" spans="1:15" x14ac:dyDescent="0.3">
      <c r="A787" t="s">
        <v>837</v>
      </c>
      <c r="B787" s="1">
        <v>45630</v>
      </c>
      <c r="C787" t="s">
        <v>10</v>
      </c>
      <c r="D787" t="s">
        <v>25</v>
      </c>
      <c r="E787" t="s">
        <v>11</v>
      </c>
      <c r="F787" t="s">
        <v>6</v>
      </c>
      <c r="G787" t="s">
        <v>6</v>
      </c>
      <c r="H787" t="s">
        <v>27</v>
      </c>
      <c r="I787" t="s">
        <v>8</v>
      </c>
      <c r="J787">
        <v>15</v>
      </c>
      <c r="K787">
        <v>3381</v>
      </c>
      <c r="L787">
        <v>50715</v>
      </c>
      <c r="M787">
        <v>30280.55</v>
      </c>
      <c r="N787">
        <v>20434.45</v>
      </c>
      <c r="O787" t="str">
        <f>TEXT(Table1[[#This Row],[Order_Date]],"yyy")</f>
        <v>2024</v>
      </c>
    </row>
    <row r="788" spans="1:15" x14ac:dyDescent="0.3">
      <c r="A788" t="s">
        <v>838</v>
      </c>
      <c r="B788" s="1">
        <v>45928</v>
      </c>
      <c r="C788" t="s">
        <v>17</v>
      </c>
      <c r="D788" t="s">
        <v>28</v>
      </c>
      <c r="E788" t="s">
        <v>18</v>
      </c>
      <c r="F788" t="s">
        <v>26</v>
      </c>
      <c r="G788" t="s">
        <v>26</v>
      </c>
      <c r="H788" t="s">
        <v>30</v>
      </c>
      <c r="I788" t="s">
        <v>8</v>
      </c>
      <c r="J788">
        <v>10</v>
      </c>
      <c r="K788">
        <v>654</v>
      </c>
      <c r="L788">
        <v>6540</v>
      </c>
      <c r="M788">
        <v>5276.45</v>
      </c>
      <c r="N788">
        <v>1263.55</v>
      </c>
      <c r="O788" t="str">
        <f>TEXT(Table1[[#This Row],[Order_Date]],"yyy")</f>
        <v>2025</v>
      </c>
    </row>
    <row r="789" spans="1:15" x14ac:dyDescent="0.3">
      <c r="A789" t="s">
        <v>839</v>
      </c>
      <c r="B789" s="1">
        <v>45694</v>
      </c>
      <c r="C789" t="s">
        <v>17</v>
      </c>
      <c r="D789" t="s">
        <v>28</v>
      </c>
      <c r="E789" t="s">
        <v>4</v>
      </c>
      <c r="F789" t="s">
        <v>32</v>
      </c>
      <c r="G789" t="s">
        <v>32</v>
      </c>
      <c r="H789" t="s">
        <v>14</v>
      </c>
      <c r="I789" t="s">
        <v>15</v>
      </c>
      <c r="J789">
        <v>14</v>
      </c>
      <c r="K789">
        <v>1928</v>
      </c>
      <c r="L789">
        <v>26992</v>
      </c>
      <c r="M789">
        <v>20948.96</v>
      </c>
      <c r="N789">
        <v>6043.04</v>
      </c>
      <c r="O789" t="str">
        <f>TEXT(Table1[[#This Row],[Order_Date]],"yyy")</f>
        <v>2025</v>
      </c>
    </row>
    <row r="790" spans="1:15" x14ac:dyDescent="0.3">
      <c r="A790" t="s">
        <v>840</v>
      </c>
      <c r="B790" s="1">
        <v>45609</v>
      </c>
      <c r="C790" t="s">
        <v>17</v>
      </c>
      <c r="D790" t="s">
        <v>16</v>
      </c>
      <c r="E790" t="s">
        <v>4</v>
      </c>
      <c r="F790" t="s">
        <v>23</v>
      </c>
      <c r="G790" t="s">
        <v>23</v>
      </c>
      <c r="H790" t="s">
        <v>30</v>
      </c>
      <c r="I790" t="s">
        <v>15</v>
      </c>
      <c r="J790">
        <v>5</v>
      </c>
      <c r="K790">
        <v>907</v>
      </c>
      <c r="L790">
        <v>4535</v>
      </c>
      <c r="M790">
        <v>2924.9</v>
      </c>
      <c r="N790">
        <v>1610.1</v>
      </c>
      <c r="O790" t="str">
        <f>TEXT(Table1[[#This Row],[Order_Date]],"yyy")</f>
        <v>2024</v>
      </c>
    </row>
    <row r="791" spans="1:15" x14ac:dyDescent="0.3">
      <c r="A791" t="s">
        <v>841</v>
      </c>
      <c r="B791" s="1">
        <v>45949</v>
      </c>
      <c r="C791" t="s">
        <v>22</v>
      </c>
      <c r="D791" t="s">
        <v>25</v>
      </c>
      <c r="E791" t="s">
        <v>11</v>
      </c>
      <c r="F791" t="s">
        <v>19</v>
      </c>
      <c r="G791" t="s">
        <v>19</v>
      </c>
      <c r="H791" t="s">
        <v>20</v>
      </c>
      <c r="I791" t="s">
        <v>8</v>
      </c>
      <c r="J791">
        <v>15</v>
      </c>
      <c r="K791">
        <v>4590</v>
      </c>
      <c r="L791">
        <v>68850</v>
      </c>
      <c r="M791">
        <v>55790.44</v>
      </c>
      <c r="N791">
        <v>13059.56</v>
      </c>
      <c r="O791" t="str">
        <f>TEXT(Table1[[#This Row],[Order_Date]],"yyy")</f>
        <v>2025</v>
      </c>
    </row>
    <row r="792" spans="1:15" x14ac:dyDescent="0.3">
      <c r="A792" t="s">
        <v>842</v>
      </c>
      <c r="B792" s="1">
        <v>45412</v>
      </c>
      <c r="C792" t="s">
        <v>22</v>
      </c>
      <c r="D792" t="s">
        <v>31</v>
      </c>
      <c r="E792" t="s">
        <v>11</v>
      </c>
      <c r="F792" t="s">
        <v>6</v>
      </c>
      <c r="G792" t="s">
        <v>6</v>
      </c>
      <c r="H792" t="s">
        <v>27</v>
      </c>
      <c r="I792" t="s">
        <v>8</v>
      </c>
      <c r="J792">
        <v>10</v>
      </c>
      <c r="K792">
        <v>3818</v>
      </c>
      <c r="L792">
        <v>38180</v>
      </c>
      <c r="M792">
        <v>28550.01</v>
      </c>
      <c r="N792">
        <v>9629.99</v>
      </c>
      <c r="O792" t="str">
        <f>TEXT(Table1[[#This Row],[Order_Date]],"yyy")</f>
        <v>2024</v>
      </c>
    </row>
    <row r="793" spans="1:15" x14ac:dyDescent="0.3">
      <c r="A793" t="s">
        <v>843</v>
      </c>
      <c r="B793" s="1">
        <v>45558</v>
      </c>
      <c r="C793" t="s">
        <v>10</v>
      </c>
      <c r="D793" t="s">
        <v>9</v>
      </c>
      <c r="E793" t="s">
        <v>4</v>
      </c>
      <c r="F793" t="s">
        <v>36</v>
      </c>
      <c r="G793" t="s">
        <v>36</v>
      </c>
      <c r="H793" t="s">
        <v>33</v>
      </c>
      <c r="I793" t="s">
        <v>15</v>
      </c>
      <c r="J793">
        <v>10</v>
      </c>
      <c r="K793">
        <v>807</v>
      </c>
      <c r="L793">
        <v>8070</v>
      </c>
      <c r="M793">
        <v>6397.54</v>
      </c>
      <c r="N793">
        <v>1672.46</v>
      </c>
      <c r="O793" t="str">
        <f>TEXT(Table1[[#This Row],[Order_Date]],"yyy")</f>
        <v>2024</v>
      </c>
    </row>
    <row r="794" spans="1:15" x14ac:dyDescent="0.3">
      <c r="A794" t="s">
        <v>844</v>
      </c>
      <c r="B794" s="1">
        <v>45950</v>
      </c>
      <c r="C794" t="s">
        <v>22</v>
      </c>
      <c r="D794" t="s">
        <v>9</v>
      </c>
      <c r="E794" t="s">
        <v>11</v>
      </c>
      <c r="F794" t="s">
        <v>19</v>
      </c>
      <c r="G794" t="s">
        <v>19</v>
      </c>
      <c r="H794" t="s">
        <v>27</v>
      </c>
      <c r="I794" t="s">
        <v>8</v>
      </c>
      <c r="J794">
        <v>15</v>
      </c>
      <c r="K794">
        <v>4415</v>
      </c>
      <c r="L794">
        <v>66225</v>
      </c>
      <c r="M794">
        <v>36721.82</v>
      </c>
      <c r="N794">
        <v>29503.18</v>
      </c>
      <c r="O794" t="str">
        <f>TEXT(Table1[[#This Row],[Order_Date]],"yyy")</f>
        <v>2025</v>
      </c>
    </row>
    <row r="795" spans="1:15" x14ac:dyDescent="0.3">
      <c r="A795" t="s">
        <v>845</v>
      </c>
      <c r="B795" s="1">
        <v>45431</v>
      </c>
      <c r="C795" t="s">
        <v>3</v>
      </c>
      <c r="D795" t="s">
        <v>16</v>
      </c>
      <c r="E795" t="s">
        <v>11</v>
      </c>
      <c r="F795" t="s">
        <v>13</v>
      </c>
      <c r="G795" t="s">
        <v>13</v>
      </c>
      <c r="H795" t="s">
        <v>24</v>
      </c>
      <c r="I795" t="s">
        <v>8</v>
      </c>
      <c r="J795">
        <v>5</v>
      </c>
      <c r="K795">
        <v>907</v>
      </c>
      <c r="L795">
        <v>4535</v>
      </c>
      <c r="M795">
        <v>3399.44</v>
      </c>
      <c r="N795">
        <v>1135.56</v>
      </c>
      <c r="O795" t="str">
        <f>TEXT(Table1[[#This Row],[Order_Date]],"yyy")</f>
        <v>2024</v>
      </c>
    </row>
    <row r="796" spans="1:15" x14ac:dyDescent="0.3">
      <c r="A796" t="s">
        <v>846</v>
      </c>
      <c r="B796" s="1">
        <v>45566</v>
      </c>
      <c r="C796" t="s">
        <v>17</v>
      </c>
      <c r="D796" t="s">
        <v>16</v>
      </c>
      <c r="E796" t="s">
        <v>11</v>
      </c>
      <c r="F796" t="s">
        <v>13</v>
      </c>
      <c r="G796" t="s">
        <v>13</v>
      </c>
      <c r="H796" t="s">
        <v>35</v>
      </c>
      <c r="I796" t="s">
        <v>15</v>
      </c>
      <c r="J796">
        <v>4</v>
      </c>
      <c r="K796">
        <v>2355</v>
      </c>
      <c r="L796">
        <v>9420</v>
      </c>
      <c r="M796">
        <v>6326.99</v>
      </c>
      <c r="N796">
        <v>3093.01</v>
      </c>
      <c r="O796" t="str">
        <f>TEXT(Table1[[#This Row],[Order_Date]],"yyy")</f>
        <v>2024</v>
      </c>
    </row>
    <row r="797" spans="1:15" x14ac:dyDescent="0.3">
      <c r="A797" t="s">
        <v>847</v>
      </c>
      <c r="B797" s="1">
        <v>45713</v>
      </c>
      <c r="C797" t="s">
        <v>22</v>
      </c>
      <c r="D797" t="s">
        <v>21</v>
      </c>
      <c r="E797" t="s">
        <v>4</v>
      </c>
      <c r="F797" t="s">
        <v>23</v>
      </c>
      <c r="G797" t="s">
        <v>23</v>
      </c>
      <c r="H797" t="s">
        <v>33</v>
      </c>
      <c r="I797" t="s">
        <v>8</v>
      </c>
      <c r="J797">
        <v>6</v>
      </c>
      <c r="K797">
        <v>4973</v>
      </c>
      <c r="L797">
        <v>29838</v>
      </c>
      <c r="M797">
        <v>20242.5</v>
      </c>
      <c r="N797">
        <v>9595.5</v>
      </c>
      <c r="O797" t="str">
        <f>TEXT(Table1[[#This Row],[Order_Date]],"yyy")</f>
        <v>2025</v>
      </c>
    </row>
    <row r="798" spans="1:15" x14ac:dyDescent="0.3">
      <c r="A798" t="s">
        <v>848</v>
      </c>
      <c r="B798" s="1">
        <v>45862</v>
      </c>
      <c r="C798" t="s">
        <v>22</v>
      </c>
      <c r="D798" t="s">
        <v>21</v>
      </c>
      <c r="E798" t="s">
        <v>18</v>
      </c>
      <c r="F798" t="s">
        <v>29</v>
      </c>
      <c r="G798" t="s">
        <v>29</v>
      </c>
      <c r="H798" t="s">
        <v>24</v>
      </c>
      <c r="I798" t="s">
        <v>8</v>
      </c>
      <c r="J798">
        <v>8</v>
      </c>
      <c r="K798">
        <v>162</v>
      </c>
      <c r="L798">
        <v>1296</v>
      </c>
      <c r="M798">
        <v>800.33</v>
      </c>
      <c r="N798">
        <v>495.67</v>
      </c>
      <c r="O798" t="str">
        <f>TEXT(Table1[[#This Row],[Order_Date]],"yyy")</f>
        <v>2025</v>
      </c>
    </row>
    <row r="799" spans="1:15" x14ac:dyDescent="0.3">
      <c r="A799" t="s">
        <v>849</v>
      </c>
      <c r="B799" s="1">
        <v>45591</v>
      </c>
      <c r="C799" t="s">
        <v>22</v>
      </c>
      <c r="D799" t="s">
        <v>16</v>
      </c>
      <c r="E799" t="s">
        <v>11</v>
      </c>
      <c r="F799" t="s">
        <v>19</v>
      </c>
      <c r="G799" t="s">
        <v>19</v>
      </c>
      <c r="H799" t="s">
        <v>27</v>
      </c>
      <c r="I799" t="s">
        <v>15</v>
      </c>
      <c r="J799">
        <v>11</v>
      </c>
      <c r="K799">
        <v>1381</v>
      </c>
      <c r="L799">
        <v>15191</v>
      </c>
      <c r="M799">
        <v>10175.59</v>
      </c>
      <c r="N799">
        <v>5015.41</v>
      </c>
      <c r="O799" t="str">
        <f>TEXT(Table1[[#This Row],[Order_Date]],"yyy")</f>
        <v>2024</v>
      </c>
    </row>
    <row r="800" spans="1:15" x14ac:dyDescent="0.3">
      <c r="A800" t="s">
        <v>850</v>
      </c>
      <c r="B800" s="1">
        <v>45828</v>
      </c>
      <c r="C800" t="s">
        <v>17</v>
      </c>
      <c r="D800" t="s">
        <v>25</v>
      </c>
      <c r="E800" t="s">
        <v>18</v>
      </c>
      <c r="F800" t="s">
        <v>29</v>
      </c>
      <c r="G800" t="s">
        <v>29</v>
      </c>
      <c r="H800" t="s">
        <v>30</v>
      </c>
      <c r="I800" t="s">
        <v>8</v>
      </c>
      <c r="J800">
        <v>1</v>
      </c>
      <c r="K800">
        <v>3337</v>
      </c>
      <c r="L800">
        <v>3337</v>
      </c>
      <c r="M800">
        <v>2780.17</v>
      </c>
      <c r="N800">
        <v>556.83000000000004</v>
      </c>
      <c r="O800" t="str">
        <f>TEXT(Table1[[#This Row],[Order_Date]],"yyy")</f>
        <v>2025</v>
      </c>
    </row>
    <row r="801" spans="1:15" x14ac:dyDescent="0.3">
      <c r="A801" t="s">
        <v>851</v>
      </c>
      <c r="B801" s="1">
        <v>45328</v>
      </c>
      <c r="C801" t="s">
        <v>10</v>
      </c>
      <c r="D801" t="s">
        <v>25</v>
      </c>
      <c r="E801" t="s">
        <v>4</v>
      </c>
      <c r="F801" t="s">
        <v>32</v>
      </c>
      <c r="G801" t="s">
        <v>32</v>
      </c>
      <c r="H801" t="s">
        <v>14</v>
      </c>
      <c r="I801" t="s">
        <v>8</v>
      </c>
      <c r="J801">
        <v>11</v>
      </c>
      <c r="K801">
        <v>1466</v>
      </c>
      <c r="L801">
        <v>16126</v>
      </c>
      <c r="M801">
        <v>12968.55</v>
      </c>
      <c r="N801">
        <v>3157.45</v>
      </c>
      <c r="O801" t="str">
        <f>TEXT(Table1[[#This Row],[Order_Date]],"yyy")</f>
        <v>2024</v>
      </c>
    </row>
    <row r="802" spans="1:15" x14ac:dyDescent="0.3">
      <c r="A802" t="s">
        <v>852</v>
      </c>
      <c r="B802" s="1">
        <v>45934</v>
      </c>
      <c r="C802" t="s">
        <v>17</v>
      </c>
      <c r="D802" t="s">
        <v>31</v>
      </c>
      <c r="E802" t="s">
        <v>11</v>
      </c>
      <c r="F802" t="s">
        <v>13</v>
      </c>
      <c r="G802" t="s">
        <v>13</v>
      </c>
      <c r="H802" t="s">
        <v>30</v>
      </c>
      <c r="I802" t="s">
        <v>15</v>
      </c>
      <c r="J802">
        <v>20</v>
      </c>
      <c r="K802">
        <v>3004</v>
      </c>
      <c r="L802">
        <v>60080</v>
      </c>
      <c r="M802">
        <v>47002.400000000001</v>
      </c>
      <c r="N802">
        <v>13077.6</v>
      </c>
      <c r="O802" t="str">
        <f>TEXT(Table1[[#This Row],[Order_Date]],"yyy")</f>
        <v>2025</v>
      </c>
    </row>
    <row r="803" spans="1:15" x14ac:dyDescent="0.3">
      <c r="A803" t="s">
        <v>853</v>
      </c>
      <c r="B803" s="1">
        <v>45658</v>
      </c>
      <c r="C803" t="s">
        <v>3</v>
      </c>
      <c r="D803" t="s">
        <v>16</v>
      </c>
      <c r="E803" t="s">
        <v>4</v>
      </c>
      <c r="F803" t="s">
        <v>23</v>
      </c>
      <c r="G803" t="s">
        <v>23</v>
      </c>
      <c r="H803" t="s">
        <v>30</v>
      </c>
      <c r="I803" t="s">
        <v>8</v>
      </c>
      <c r="J803">
        <v>4</v>
      </c>
      <c r="K803">
        <v>3781</v>
      </c>
      <c r="L803">
        <v>15124</v>
      </c>
      <c r="M803">
        <v>9365.9500000000007</v>
      </c>
      <c r="N803">
        <v>5758.05</v>
      </c>
      <c r="O803" t="str">
        <f>TEXT(Table1[[#This Row],[Order_Date]],"yyy")</f>
        <v>2025</v>
      </c>
    </row>
    <row r="804" spans="1:15" x14ac:dyDescent="0.3">
      <c r="A804" t="s">
        <v>854</v>
      </c>
      <c r="B804" s="1">
        <v>45342</v>
      </c>
      <c r="C804" t="s">
        <v>22</v>
      </c>
      <c r="D804" t="s">
        <v>9</v>
      </c>
      <c r="E804" t="s">
        <v>4</v>
      </c>
      <c r="F804" t="s">
        <v>32</v>
      </c>
      <c r="G804" t="s">
        <v>32</v>
      </c>
      <c r="H804" t="s">
        <v>30</v>
      </c>
      <c r="I804" t="s">
        <v>15</v>
      </c>
      <c r="J804">
        <v>7</v>
      </c>
      <c r="K804">
        <v>3324</v>
      </c>
      <c r="L804">
        <v>23268</v>
      </c>
      <c r="M804">
        <v>19394.5</v>
      </c>
      <c r="N804">
        <v>3873.5</v>
      </c>
      <c r="O804" t="str">
        <f>TEXT(Table1[[#This Row],[Order_Date]],"yyy")</f>
        <v>2024</v>
      </c>
    </row>
    <row r="805" spans="1:15" x14ac:dyDescent="0.3">
      <c r="A805" t="s">
        <v>855</v>
      </c>
      <c r="B805" s="1">
        <v>45794</v>
      </c>
      <c r="C805" t="s">
        <v>17</v>
      </c>
      <c r="D805" t="s">
        <v>31</v>
      </c>
      <c r="E805" t="s">
        <v>4</v>
      </c>
      <c r="F805" t="s">
        <v>36</v>
      </c>
      <c r="G805" t="s">
        <v>36</v>
      </c>
      <c r="H805" t="s">
        <v>35</v>
      </c>
      <c r="I805" t="s">
        <v>8</v>
      </c>
      <c r="J805">
        <v>20</v>
      </c>
      <c r="K805">
        <v>3515</v>
      </c>
      <c r="L805">
        <v>70300</v>
      </c>
      <c r="M805">
        <v>43278.5</v>
      </c>
      <c r="N805">
        <v>27021.5</v>
      </c>
      <c r="O805" t="str">
        <f>TEXT(Table1[[#This Row],[Order_Date]],"yyy")</f>
        <v>2025</v>
      </c>
    </row>
    <row r="806" spans="1:15" x14ac:dyDescent="0.3">
      <c r="A806" t="s">
        <v>856</v>
      </c>
      <c r="B806" s="1">
        <v>45735</v>
      </c>
      <c r="C806" t="s">
        <v>17</v>
      </c>
      <c r="D806" t="s">
        <v>28</v>
      </c>
      <c r="E806" t="s">
        <v>18</v>
      </c>
      <c r="F806" t="s">
        <v>29</v>
      </c>
      <c r="G806" t="s">
        <v>29</v>
      </c>
      <c r="H806" t="s">
        <v>30</v>
      </c>
      <c r="I806" t="s">
        <v>15</v>
      </c>
      <c r="J806">
        <v>16</v>
      </c>
      <c r="K806">
        <v>4076</v>
      </c>
      <c r="L806">
        <v>65216</v>
      </c>
      <c r="M806">
        <v>52514.47</v>
      </c>
      <c r="N806">
        <v>12701.53</v>
      </c>
      <c r="O806" t="str">
        <f>TEXT(Table1[[#This Row],[Order_Date]],"yyy")</f>
        <v>2025</v>
      </c>
    </row>
    <row r="807" spans="1:15" x14ac:dyDescent="0.3">
      <c r="A807" t="s">
        <v>857</v>
      </c>
      <c r="B807" s="1">
        <v>45581</v>
      </c>
      <c r="C807" t="s">
        <v>3</v>
      </c>
      <c r="D807" t="s">
        <v>21</v>
      </c>
      <c r="E807" t="s">
        <v>11</v>
      </c>
      <c r="F807" t="s">
        <v>6</v>
      </c>
      <c r="G807" t="s">
        <v>6</v>
      </c>
      <c r="H807" t="s">
        <v>30</v>
      </c>
      <c r="I807" t="s">
        <v>15</v>
      </c>
      <c r="J807">
        <v>8</v>
      </c>
      <c r="K807">
        <v>4046</v>
      </c>
      <c r="L807">
        <v>32368</v>
      </c>
      <c r="M807">
        <v>22517.02</v>
      </c>
      <c r="N807">
        <v>9850.98</v>
      </c>
      <c r="O807" t="str">
        <f>TEXT(Table1[[#This Row],[Order_Date]],"yyy")</f>
        <v>2024</v>
      </c>
    </row>
    <row r="808" spans="1:15" x14ac:dyDescent="0.3">
      <c r="A808" t="s">
        <v>858</v>
      </c>
      <c r="B808" s="1">
        <v>45621</v>
      </c>
      <c r="C808" t="s">
        <v>17</v>
      </c>
      <c r="D808" t="s">
        <v>21</v>
      </c>
      <c r="E808" t="s">
        <v>4</v>
      </c>
      <c r="F808" t="s">
        <v>32</v>
      </c>
      <c r="G808" t="s">
        <v>32</v>
      </c>
      <c r="H808" t="s">
        <v>27</v>
      </c>
      <c r="I808" t="s">
        <v>15</v>
      </c>
      <c r="J808">
        <v>3</v>
      </c>
      <c r="K808">
        <v>2568</v>
      </c>
      <c r="L808">
        <v>7704</v>
      </c>
      <c r="M808">
        <v>4603.04</v>
      </c>
      <c r="N808">
        <v>3100.96</v>
      </c>
      <c r="O808" t="str">
        <f>TEXT(Table1[[#This Row],[Order_Date]],"yyy")</f>
        <v>2024</v>
      </c>
    </row>
    <row r="809" spans="1:15" x14ac:dyDescent="0.3">
      <c r="A809" t="s">
        <v>859</v>
      </c>
      <c r="B809" s="1">
        <v>45446</v>
      </c>
      <c r="C809" t="s">
        <v>17</v>
      </c>
      <c r="D809" t="s">
        <v>25</v>
      </c>
      <c r="E809" t="s">
        <v>11</v>
      </c>
      <c r="F809" t="s">
        <v>6</v>
      </c>
      <c r="G809" t="s">
        <v>6</v>
      </c>
      <c r="H809" t="s">
        <v>33</v>
      </c>
      <c r="I809" t="s">
        <v>15</v>
      </c>
      <c r="J809">
        <v>8</v>
      </c>
      <c r="K809">
        <v>2478</v>
      </c>
      <c r="L809">
        <v>19824</v>
      </c>
      <c r="M809">
        <v>14693.55</v>
      </c>
      <c r="N809">
        <v>5130.45</v>
      </c>
      <c r="O809" t="str">
        <f>TEXT(Table1[[#This Row],[Order_Date]],"yyy")</f>
        <v>2024</v>
      </c>
    </row>
    <row r="810" spans="1:15" x14ac:dyDescent="0.3">
      <c r="A810" t="s">
        <v>860</v>
      </c>
      <c r="B810" s="1">
        <v>45409</v>
      </c>
      <c r="C810" t="s">
        <v>10</v>
      </c>
      <c r="D810" t="s">
        <v>21</v>
      </c>
      <c r="E810" t="s">
        <v>18</v>
      </c>
      <c r="F810" t="s">
        <v>34</v>
      </c>
      <c r="G810" t="s">
        <v>34</v>
      </c>
      <c r="H810" t="s">
        <v>7</v>
      </c>
      <c r="I810" t="s">
        <v>8</v>
      </c>
      <c r="J810">
        <v>9</v>
      </c>
      <c r="K810">
        <v>2698</v>
      </c>
      <c r="L810">
        <v>24282</v>
      </c>
      <c r="M810">
        <v>17896.28</v>
      </c>
      <c r="N810">
        <v>6385.72</v>
      </c>
      <c r="O810" t="str">
        <f>TEXT(Table1[[#This Row],[Order_Date]],"yyy")</f>
        <v>2024</v>
      </c>
    </row>
    <row r="811" spans="1:15" x14ac:dyDescent="0.3">
      <c r="A811" t="s">
        <v>861</v>
      </c>
      <c r="B811" s="1">
        <v>45298</v>
      </c>
      <c r="C811" t="s">
        <v>10</v>
      </c>
      <c r="D811" t="s">
        <v>28</v>
      </c>
      <c r="E811" t="s">
        <v>4</v>
      </c>
      <c r="F811" t="s">
        <v>23</v>
      </c>
      <c r="G811" t="s">
        <v>23</v>
      </c>
      <c r="H811" t="s">
        <v>27</v>
      </c>
      <c r="I811" t="s">
        <v>15</v>
      </c>
      <c r="J811">
        <v>3</v>
      </c>
      <c r="K811">
        <v>4860</v>
      </c>
      <c r="L811">
        <v>14580</v>
      </c>
      <c r="M811">
        <v>12145.4</v>
      </c>
      <c r="N811">
        <v>2434.6</v>
      </c>
      <c r="O811" t="str">
        <f>TEXT(Table1[[#This Row],[Order_Date]],"yyy")</f>
        <v>2024</v>
      </c>
    </row>
    <row r="812" spans="1:15" x14ac:dyDescent="0.3">
      <c r="A812" t="s">
        <v>862</v>
      </c>
      <c r="B812" s="1">
        <v>45840</v>
      </c>
      <c r="C812" t="s">
        <v>22</v>
      </c>
      <c r="D812" t="s">
        <v>28</v>
      </c>
      <c r="E812" t="s">
        <v>4</v>
      </c>
      <c r="F812" t="s">
        <v>36</v>
      </c>
      <c r="G812" t="s">
        <v>36</v>
      </c>
      <c r="H812" t="s">
        <v>30</v>
      </c>
      <c r="I812" t="s">
        <v>15</v>
      </c>
      <c r="J812">
        <v>13</v>
      </c>
      <c r="K812">
        <v>1074</v>
      </c>
      <c r="L812">
        <v>13962</v>
      </c>
      <c r="M812">
        <v>9099.59</v>
      </c>
      <c r="N812">
        <v>4862.41</v>
      </c>
      <c r="O812" t="str">
        <f>TEXT(Table1[[#This Row],[Order_Date]],"yyy")</f>
        <v>2025</v>
      </c>
    </row>
    <row r="813" spans="1:15" x14ac:dyDescent="0.3">
      <c r="A813" t="s">
        <v>863</v>
      </c>
      <c r="B813" s="1">
        <v>45340</v>
      </c>
      <c r="C813" t="s">
        <v>10</v>
      </c>
      <c r="D813" t="s">
        <v>16</v>
      </c>
      <c r="E813" t="s">
        <v>4</v>
      </c>
      <c r="F813" t="s">
        <v>32</v>
      </c>
      <c r="G813" t="s">
        <v>32</v>
      </c>
      <c r="H813" t="s">
        <v>14</v>
      </c>
      <c r="I813" t="s">
        <v>15</v>
      </c>
      <c r="J813">
        <v>8</v>
      </c>
      <c r="K813">
        <v>3785</v>
      </c>
      <c r="L813">
        <v>30280</v>
      </c>
      <c r="M813">
        <v>23513.81</v>
      </c>
      <c r="N813">
        <v>6766.19</v>
      </c>
      <c r="O813" t="str">
        <f>TEXT(Table1[[#This Row],[Order_Date]],"yyy")</f>
        <v>2024</v>
      </c>
    </row>
    <row r="814" spans="1:15" x14ac:dyDescent="0.3">
      <c r="A814" t="s">
        <v>864</v>
      </c>
      <c r="B814" s="1">
        <v>45868</v>
      </c>
      <c r="C814" t="s">
        <v>3</v>
      </c>
      <c r="D814" t="s">
        <v>9</v>
      </c>
      <c r="E814" t="s">
        <v>11</v>
      </c>
      <c r="F814" t="s">
        <v>13</v>
      </c>
      <c r="G814" t="s">
        <v>13</v>
      </c>
      <c r="H814" t="s">
        <v>33</v>
      </c>
      <c r="I814" t="s">
        <v>15</v>
      </c>
      <c r="J814">
        <v>5</v>
      </c>
      <c r="K814">
        <v>4727</v>
      </c>
      <c r="L814">
        <v>23635</v>
      </c>
      <c r="M814">
        <v>14997.18</v>
      </c>
      <c r="N814">
        <v>8637.82</v>
      </c>
      <c r="O814" t="str">
        <f>TEXT(Table1[[#This Row],[Order_Date]],"yyy")</f>
        <v>2025</v>
      </c>
    </row>
    <row r="815" spans="1:15" x14ac:dyDescent="0.3">
      <c r="A815" t="s">
        <v>865</v>
      </c>
      <c r="B815" s="1">
        <v>45437</v>
      </c>
      <c r="C815" t="s">
        <v>17</v>
      </c>
      <c r="D815" t="s">
        <v>25</v>
      </c>
      <c r="E815" t="s">
        <v>11</v>
      </c>
      <c r="F815" t="s">
        <v>6</v>
      </c>
      <c r="G815" t="s">
        <v>6</v>
      </c>
      <c r="H815" t="s">
        <v>14</v>
      </c>
      <c r="I815" t="s">
        <v>15</v>
      </c>
      <c r="J815">
        <v>15</v>
      </c>
      <c r="K815">
        <v>4043</v>
      </c>
      <c r="L815">
        <v>60645</v>
      </c>
      <c r="M815">
        <v>39572.769999999997</v>
      </c>
      <c r="N815">
        <v>21072.23</v>
      </c>
      <c r="O815" t="str">
        <f>TEXT(Table1[[#This Row],[Order_Date]],"yyy")</f>
        <v>2024</v>
      </c>
    </row>
    <row r="816" spans="1:15" x14ac:dyDescent="0.3">
      <c r="A816" t="s">
        <v>866</v>
      </c>
      <c r="B816" s="1">
        <v>45597</v>
      </c>
      <c r="C816" t="s">
        <v>22</v>
      </c>
      <c r="D816" t="s">
        <v>21</v>
      </c>
      <c r="E816" t="s">
        <v>11</v>
      </c>
      <c r="F816" t="s">
        <v>19</v>
      </c>
      <c r="G816" t="s">
        <v>19</v>
      </c>
      <c r="H816" t="s">
        <v>14</v>
      </c>
      <c r="I816" t="s">
        <v>15</v>
      </c>
      <c r="J816">
        <v>8</v>
      </c>
      <c r="K816">
        <v>4263</v>
      </c>
      <c r="L816">
        <v>34104</v>
      </c>
      <c r="M816">
        <v>20526.09</v>
      </c>
      <c r="N816">
        <v>13577.91</v>
      </c>
      <c r="O816" t="str">
        <f>TEXT(Table1[[#This Row],[Order_Date]],"yyy")</f>
        <v>2024</v>
      </c>
    </row>
    <row r="817" spans="1:15" x14ac:dyDescent="0.3">
      <c r="A817" t="s">
        <v>867</v>
      </c>
      <c r="B817" s="1">
        <v>45411</v>
      </c>
      <c r="C817" t="s">
        <v>3</v>
      </c>
      <c r="D817" t="s">
        <v>31</v>
      </c>
      <c r="E817" t="s">
        <v>4</v>
      </c>
      <c r="F817" t="s">
        <v>36</v>
      </c>
      <c r="G817" t="s">
        <v>36</v>
      </c>
      <c r="H817" t="s">
        <v>24</v>
      </c>
      <c r="I817" t="s">
        <v>15</v>
      </c>
      <c r="J817">
        <v>8</v>
      </c>
      <c r="K817">
        <v>4601</v>
      </c>
      <c r="L817">
        <v>36808</v>
      </c>
      <c r="M817">
        <v>23608.639999999999</v>
      </c>
      <c r="N817">
        <v>13199.36</v>
      </c>
      <c r="O817" t="str">
        <f>TEXT(Table1[[#This Row],[Order_Date]],"yyy")</f>
        <v>2024</v>
      </c>
    </row>
    <row r="818" spans="1:15" x14ac:dyDescent="0.3">
      <c r="A818" t="s">
        <v>868</v>
      </c>
      <c r="B818" s="1">
        <v>45462</v>
      </c>
      <c r="C818" t="s">
        <v>17</v>
      </c>
      <c r="D818" t="s">
        <v>31</v>
      </c>
      <c r="E818" t="s">
        <v>18</v>
      </c>
      <c r="F818" t="s">
        <v>34</v>
      </c>
      <c r="G818" t="s">
        <v>34</v>
      </c>
      <c r="H818" t="s">
        <v>20</v>
      </c>
      <c r="I818" t="s">
        <v>15</v>
      </c>
      <c r="J818">
        <v>10</v>
      </c>
      <c r="K818">
        <v>4199</v>
      </c>
      <c r="L818">
        <v>41990</v>
      </c>
      <c r="M818">
        <v>31095.78</v>
      </c>
      <c r="N818">
        <v>10894.22</v>
      </c>
      <c r="O818" t="str">
        <f>TEXT(Table1[[#This Row],[Order_Date]],"yyy")</f>
        <v>2024</v>
      </c>
    </row>
    <row r="819" spans="1:15" x14ac:dyDescent="0.3">
      <c r="A819" t="s">
        <v>869</v>
      </c>
      <c r="B819" s="1">
        <v>45582</v>
      </c>
      <c r="C819" t="s">
        <v>17</v>
      </c>
      <c r="D819" t="s">
        <v>9</v>
      </c>
      <c r="E819" t="s">
        <v>11</v>
      </c>
      <c r="F819" t="s">
        <v>13</v>
      </c>
      <c r="G819" t="s">
        <v>13</v>
      </c>
      <c r="H819" t="s">
        <v>33</v>
      </c>
      <c r="I819" t="s">
        <v>15</v>
      </c>
      <c r="J819">
        <v>18</v>
      </c>
      <c r="K819">
        <v>1251</v>
      </c>
      <c r="L819">
        <v>22518</v>
      </c>
      <c r="M819">
        <v>13055.45</v>
      </c>
      <c r="N819">
        <v>9462.5499999999993</v>
      </c>
      <c r="O819" t="str">
        <f>TEXT(Table1[[#This Row],[Order_Date]],"yyy")</f>
        <v>2024</v>
      </c>
    </row>
    <row r="820" spans="1:15" x14ac:dyDescent="0.3">
      <c r="A820" t="s">
        <v>870</v>
      </c>
      <c r="B820" s="1">
        <v>45394</v>
      </c>
      <c r="C820" t="s">
        <v>3</v>
      </c>
      <c r="D820" t="s">
        <v>31</v>
      </c>
      <c r="E820" t="s">
        <v>18</v>
      </c>
      <c r="F820" t="s">
        <v>34</v>
      </c>
      <c r="G820" t="s">
        <v>34</v>
      </c>
      <c r="H820" t="s">
        <v>7</v>
      </c>
      <c r="I820" t="s">
        <v>15</v>
      </c>
      <c r="J820">
        <v>2</v>
      </c>
      <c r="K820">
        <v>1202</v>
      </c>
      <c r="L820">
        <v>2404</v>
      </c>
      <c r="M820">
        <v>1688.4</v>
      </c>
      <c r="N820">
        <v>715.6</v>
      </c>
      <c r="O820" t="str">
        <f>TEXT(Table1[[#This Row],[Order_Date]],"yyy")</f>
        <v>2024</v>
      </c>
    </row>
    <row r="821" spans="1:15" x14ac:dyDescent="0.3">
      <c r="A821" t="s">
        <v>871</v>
      </c>
      <c r="B821" s="1">
        <v>45344</v>
      </c>
      <c r="C821" t="s">
        <v>22</v>
      </c>
      <c r="D821" t="s">
        <v>9</v>
      </c>
      <c r="E821" t="s">
        <v>11</v>
      </c>
      <c r="F821" t="s">
        <v>13</v>
      </c>
      <c r="G821" t="s">
        <v>13</v>
      </c>
      <c r="H821" t="s">
        <v>14</v>
      </c>
      <c r="I821" t="s">
        <v>8</v>
      </c>
      <c r="J821">
        <v>16</v>
      </c>
      <c r="K821">
        <v>2838</v>
      </c>
      <c r="L821">
        <v>45408</v>
      </c>
      <c r="M821">
        <v>35771.96</v>
      </c>
      <c r="N821">
        <v>9636.0400000000009</v>
      </c>
      <c r="O821" t="str">
        <f>TEXT(Table1[[#This Row],[Order_Date]],"yyy")</f>
        <v>2024</v>
      </c>
    </row>
    <row r="822" spans="1:15" x14ac:dyDescent="0.3">
      <c r="A822" t="s">
        <v>872</v>
      </c>
      <c r="B822" s="1">
        <v>45650</v>
      </c>
      <c r="C822" t="s">
        <v>10</v>
      </c>
      <c r="D822" t="s">
        <v>16</v>
      </c>
      <c r="E822" t="s">
        <v>4</v>
      </c>
      <c r="F822" t="s">
        <v>23</v>
      </c>
      <c r="G822" t="s">
        <v>23</v>
      </c>
      <c r="H822" t="s">
        <v>27</v>
      </c>
      <c r="I822" t="s">
        <v>15</v>
      </c>
      <c r="J822">
        <v>20</v>
      </c>
      <c r="K822">
        <v>1966</v>
      </c>
      <c r="L822">
        <v>39320</v>
      </c>
      <c r="M822">
        <v>26107.55</v>
      </c>
      <c r="N822">
        <v>13212.45</v>
      </c>
      <c r="O822" t="str">
        <f>TEXT(Table1[[#This Row],[Order_Date]],"yyy")</f>
        <v>2024</v>
      </c>
    </row>
    <row r="823" spans="1:15" x14ac:dyDescent="0.3">
      <c r="A823" t="s">
        <v>873</v>
      </c>
      <c r="B823" s="1">
        <v>45556</v>
      </c>
      <c r="C823" t="s">
        <v>22</v>
      </c>
      <c r="D823" t="s">
        <v>21</v>
      </c>
      <c r="E823" t="s">
        <v>4</v>
      </c>
      <c r="F823" t="s">
        <v>36</v>
      </c>
      <c r="G823" t="s">
        <v>36</v>
      </c>
      <c r="H823" t="s">
        <v>30</v>
      </c>
      <c r="I823" t="s">
        <v>15</v>
      </c>
      <c r="J823">
        <v>17</v>
      </c>
      <c r="K823">
        <v>2698</v>
      </c>
      <c r="L823">
        <v>45866</v>
      </c>
      <c r="M823">
        <v>30706.75</v>
      </c>
      <c r="N823">
        <v>15159.25</v>
      </c>
      <c r="O823" t="str">
        <f>TEXT(Table1[[#This Row],[Order_Date]],"yyy")</f>
        <v>2024</v>
      </c>
    </row>
    <row r="824" spans="1:15" x14ac:dyDescent="0.3">
      <c r="A824" t="s">
        <v>874</v>
      </c>
      <c r="B824" s="1">
        <v>45920</v>
      </c>
      <c r="C824" t="s">
        <v>22</v>
      </c>
      <c r="D824" t="s">
        <v>21</v>
      </c>
      <c r="E824" t="s">
        <v>18</v>
      </c>
      <c r="F824" t="s">
        <v>29</v>
      </c>
      <c r="G824" t="s">
        <v>29</v>
      </c>
      <c r="H824" t="s">
        <v>35</v>
      </c>
      <c r="I824" t="s">
        <v>8</v>
      </c>
      <c r="J824">
        <v>12</v>
      </c>
      <c r="K824">
        <v>941</v>
      </c>
      <c r="L824">
        <v>11292</v>
      </c>
      <c r="M824">
        <v>7964.05</v>
      </c>
      <c r="N824">
        <v>3327.95</v>
      </c>
      <c r="O824" t="str">
        <f>TEXT(Table1[[#This Row],[Order_Date]],"yyy")</f>
        <v>2025</v>
      </c>
    </row>
    <row r="825" spans="1:15" x14ac:dyDescent="0.3">
      <c r="A825" t="s">
        <v>875</v>
      </c>
      <c r="B825" s="1">
        <v>45771</v>
      </c>
      <c r="C825" t="s">
        <v>3</v>
      </c>
      <c r="D825" t="s">
        <v>16</v>
      </c>
      <c r="E825" t="s">
        <v>18</v>
      </c>
      <c r="F825" t="s">
        <v>34</v>
      </c>
      <c r="G825" t="s">
        <v>34</v>
      </c>
      <c r="H825" t="s">
        <v>35</v>
      </c>
      <c r="I825" t="s">
        <v>8</v>
      </c>
      <c r="J825">
        <v>18</v>
      </c>
      <c r="K825">
        <v>342</v>
      </c>
      <c r="L825">
        <v>6156</v>
      </c>
      <c r="M825">
        <v>3964.65</v>
      </c>
      <c r="N825">
        <v>2191.35</v>
      </c>
      <c r="O825" t="str">
        <f>TEXT(Table1[[#This Row],[Order_Date]],"yyy")</f>
        <v>2025</v>
      </c>
    </row>
    <row r="826" spans="1:15" x14ac:dyDescent="0.3">
      <c r="A826" t="s">
        <v>876</v>
      </c>
      <c r="B826" s="1">
        <v>45391</v>
      </c>
      <c r="C826" t="s">
        <v>17</v>
      </c>
      <c r="D826" t="s">
        <v>31</v>
      </c>
      <c r="E826" t="s">
        <v>11</v>
      </c>
      <c r="F826" t="s">
        <v>13</v>
      </c>
      <c r="G826" t="s">
        <v>13</v>
      </c>
      <c r="H826" t="s">
        <v>30</v>
      </c>
      <c r="I826" t="s">
        <v>8</v>
      </c>
      <c r="J826">
        <v>11</v>
      </c>
      <c r="K826">
        <v>3363</v>
      </c>
      <c r="L826">
        <v>36993</v>
      </c>
      <c r="M826">
        <v>20790.84</v>
      </c>
      <c r="N826">
        <v>16202.16</v>
      </c>
      <c r="O826" t="str">
        <f>TEXT(Table1[[#This Row],[Order_Date]],"yyy")</f>
        <v>2024</v>
      </c>
    </row>
    <row r="827" spans="1:15" x14ac:dyDescent="0.3">
      <c r="A827" t="s">
        <v>877</v>
      </c>
      <c r="B827" s="1">
        <v>45844</v>
      </c>
      <c r="C827" t="s">
        <v>10</v>
      </c>
      <c r="D827" t="s">
        <v>31</v>
      </c>
      <c r="E827" t="s">
        <v>18</v>
      </c>
      <c r="F827" t="s">
        <v>26</v>
      </c>
      <c r="G827" t="s">
        <v>26</v>
      </c>
      <c r="H827" t="s">
        <v>35</v>
      </c>
      <c r="I827" t="s">
        <v>15</v>
      </c>
      <c r="J827">
        <v>10</v>
      </c>
      <c r="K827">
        <v>2791</v>
      </c>
      <c r="L827">
        <v>27910</v>
      </c>
      <c r="M827">
        <v>22486.92</v>
      </c>
      <c r="N827">
        <v>5423.08</v>
      </c>
      <c r="O827" t="str">
        <f>TEXT(Table1[[#This Row],[Order_Date]],"yyy")</f>
        <v>2025</v>
      </c>
    </row>
    <row r="828" spans="1:15" x14ac:dyDescent="0.3">
      <c r="A828" t="s">
        <v>878</v>
      </c>
      <c r="B828" s="1">
        <v>45999</v>
      </c>
      <c r="C828" t="s">
        <v>22</v>
      </c>
      <c r="D828" t="s">
        <v>31</v>
      </c>
      <c r="E828" t="s">
        <v>4</v>
      </c>
      <c r="F828" t="s">
        <v>23</v>
      </c>
      <c r="G828" t="s">
        <v>23</v>
      </c>
      <c r="H828" t="s">
        <v>7</v>
      </c>
      <c r="I828" t="s">
        <v>8</v>
      </c>
      <c r="J828">
        <v>1</v>
      </c>
      <c r="K828">
        <v>3687</v>
      </c>
      <c r="L828">
        <v>3687</v>
      </c>
      <c r="M828">
        <v>2686.19</v>
      </c>
      <c r="N828">
        <v>1000.81</v>
      </c>
      <c r="O828" t="str">
        <f>TEXT(Table1[[#This Row],[Order_Date]],"yyy")</f>
        <v>2025</v>
      </c>
    </row>
    <row r="829" spans="1:15" x14ac:dyDescent="0.3">
      <c r="A829" t="s">
        <v>879</v>
      </c>
      <c r="B829" s="1">
        <v>45928</v>
      </c>
      <c r="C829" t="s">
        <v>3</v>
      </c>
      <c r="D829" t="s">
        <v>9</v>
      </c>
      <c r="E829" t="s">
        <v>11</v>
      </c>
      <c r="F829" t="s">
        <v>6</v>
      </c>
      <c r="G829" t="s">
        <v>6</v>
      </c>
      <c r="H829" t="s">
        <v>20</v>
      </c>
      <c r="I829" t="s">
        <v>8</v>
      </c>
      <c r="J829">
        <v>19</v>
      </c>
      <c r="K829">
        <v>3942</v>
      </c>
      <c r="L829">
        <v>74898</v>
      </c>
      <c r="M829">
        <v>59287.92</v>
      </c>
      <c r="N829">
        <v>15610.08</v>
      </c>
      <c r="O829" t="str">
        <f>TEXT(Table1[[#This Row],[Order_Date]],"yyy")</f>
        <v>2025</v>
      </c>
    </row>
    <row r="830" spans="1:15" x14ac:dyDescent="0.3">
      <c r="A830" t="s">
        <v>880</v>
      </c>
      <c r="B830" s="1">
        <v>45488</v>
      </c>
      <c r="C830" t="s">
        <v>22</v>
      </c>
      <c r="D830" t="s">
        <v>28</v>
      </c>
      <c r="E830" t="s">
        <v>4</v>
      </c>
      <c r="F830" t="s">
        <v>32</v>
      </c>
      <c r="G830" t="s">
        <v>32</v>
      </c>
      <c r="H830" t="s">
        <v>33</v>
      </c>
      <c r="I830" t="s">
        <v>15</v>
      </c>
      <c r="J830">
        <v>15</v>
      </c>
      <c r="K830">
        <v>2956</v>
      </c>
      <c r="L830">
        <v>44340</v>
      </c>
      <c r="M830">
        <v>28608.79</v>
      </c>
      <c r="N830">
        <v>15731.21</v>
      </c>
      <c r="O830" t="str">
        <f>TEXT(Table1[[#This Row],[Order_Date]],"yyy")</f>
        <v>2024</v>
      </c>
    </row>
    <row r="831" spans="1:15" x14ac:dyDescent="0.3">
      <c r="A831" t="s">
        <v>881</v>
      </c>
      <c r="B831" s="1">
        <v>45435</v>
      </c>
      <c r="C831" t="s">
        <v>22</v>
      </c>
      <c r="D831" t="s">
        <v>31</v>
      </c>
      <c r="E831" t="s">
        <v>4</v>
      </c>
      <c r="F831" t="s">
        <v>32</v>
      </c>
      <c r="G831" t="s">
        <v>32</v>
      </c>
      <c r="H831" t="s">
        <v>7</v>
      </c>
      <c r="I831" t="s">
        <v>15</v>
      </c>
      <c r="J831">
        <v>4</v>
      </c>
      <c r="K831">
        <v>3403</v>
      </c>
      <c r="L831">
        <v>13612</v>
      </c>
      <c r="M831">
        <v>11365.09</v>
      </c>
      <c r="N831">
        <v>2246.91</v>
      </c>
      <c r="O831" t="str">
        <f>TEXT(Table1[[#This Row],[Order_Date]],"yyy")</f>
        <v>2024</v>
      </c>
    </row>
    <row r="832" spans="1:15" x14ac:dyDescent="0.3">
      <c r="A832" t="s">
        <v>882</v>
      </c>
      <c r="B832" s="1">
        <v>45887</v>
      </c>
      <c r="C832" t="s">
        <v>3</v>
      </c>
      <c r="D832" t="s">
        <v>9</v>
      </c>
      <c r="E832" t="s">
        <v>11</v>
      </c>
      <c r="F832" t="s">
        <v>13</v>
      </c>
      <c r="G832" t="s">
        <v>13</v>
      </c>
      <c r="H832" t="s">
        <v>24</v>
      </c>
      <c r="I832" t="s">
        <v>15</v>
      </c>
      <c r="J832">
        <v>9</v>
      </c>
      <c r="K832">
        <v>3071</v>
      </c>
      <c r="L832">
        <v>27639</v>
      </c>
      <c r="M832">
        <v>20540.03</v>
      </c>
      <c r="N832">
        <v>7098.97</v>
      </c>
      <c r="O832" t="str">
        <f>TEXT(Table1[[#This Row],[Order_Date]],"yyy")</f>
        <v>2025</v>
      </c>
    </row>
    <row r="833" spans="1:15" x14ac:dyDescent="0.3">
      <c r="A833" t="s">
        <v>883</v>
      </c>
      <c r="B833" s="1">
        <v>45937</v>
      </c>
      <c r="C833" t="s">
        <v>10</v>
      </c>
      <c r="D833" t="s">
        <v>9</v>
      </c>
      <c r="E833" t="s">
        <v>11</v>
      </c>
      <c r="F833" t="s">
        <v>6</v>
      </c>
      <c r="G833" t="s">
        <v>6</v>
      </c>
      <c r="H833" t="s">
        <v>35</v>
      </c>
      <c r="I833" t="s">
        <v>8</v>
      </c>
      <c r="J833">
        <v>8</v>
      </c>
      <c r="K833">
        <v>926</v>
      </c>
      <c r="L833">
        <v>7408</v>
      </c>
      <c r="M833">
        <v>5724.32</v>
      </c>
      <c r="N833">
        <v>1683.68</v>
      </c>
      <c r="O833" t="str">
        <f>TEXT(Table1[[#This Row],[Order_Date]],"yyy")</f>
        <v>2025</v>
      </c>
    </row>
    <row r="834" spans="1:15" x14ac:dyDescent="0.3">
      <c r="A834" t="s">
        <v>884</v>
      </c>
      <c r="B834" s="1">
        <v>45332</v>
      </c>
      <c r="C834" t="s">
        <v>22</v>
      </c>
      <c r="D834" t="s">
        <v>16</v>
      </c>
      <c r="E834" t="s">
        <v>11</v>
      </c>
      <c r="F834" t="s">
        <v>13</v>
      </c>
      <c r="G834" t="s">
        <v>13</v>
      </c>
      <c r="H834" t="s">
        <v>7</v>
      </c>
      <c r="I834" t="s">
        <v>8</v>
      </c>
      <c r="J834">
        <v>3</v>
      </c>
      <c r="K834">
        <v>4842</v>
      </c>
      <c r="L834">
        <v>14526</v>
      </c>
      <c r="M834">
        <v>10641.15</v>
      </c>
      <c r="N834">
        <v>3884.85</v>
      </c>
      <c r="O834" t="str">
        <f>TEXT(Table1[[#This Row],[Order_Date]],"yyy")</f>
        <v>2024</v>
      </c>
    </row>
    <row r="835" spans="1:15" x14ac:dyDescent="0.3">
      <c r="A835" t="s">
        <v>885</v>
      </c>
      <c r="B835" s="1">
        <v>45557</v>
      </c>
      <c r="C835" t="s">
        <v>17</v>
      </c>
      <c r="D835" t="s">
        <v>9</v>
      </c>
      <c r="E835" t="s">
        <v>4</v>
      </c>
      <c r="F835" t="s">
        <v>23</v>
      </c>
      <c r="G835" t="s">
        <v>23</v>
      </c>
      <c r="H835" t="s">
        <v>7</v>
      </c>
      <c r="I835" t="s">
        <v>15</v>
      </c>
      <c r="J835">
        <v>20</v>
      </c>
      <c r="K835">
        <v>4288</v>
      </c>
      <c r="L835">
        <v>85760</v>
      </c>
      <c r="M835">
        <v>47519.81</v>
      </c>
      <c r="N835">
        <v>38240.19</v>
      </c>
      <c r="O835" t="str">
        <f>TEXT(Table1[[#This Row],[Order_Date]],"yyy")</f>
        <v>2024</v>
      </c>
    </row>
    <row r="836" spans="1:15" x14ac:dyDescent="0.3">
      <c r="A836" t="s">
        <v>886</v>
      </c>
      <c r="B836" s="1">
        <v>45629</v>
      </c>
      <c r="C836" t="s">
        <v>3</v>
      </c>
      <c r="D836" t="s">
        <v>31</v>
      </c>
      <c r="E836" t="s">
        <v>18</v>
      </c>
      <c r="F836" t="s">
        <v>26</v>
      </c>
      <c r="G836" t="s">
        <v>26</v>
      </c>
      <c r="H836" t="s">
        <v>33</v>
      </c>
      <c r="I836" t="s">
        <v>15</v>
      </c>
      <c r="J836">
        <v>5</v>
      </c>
      <c r="K836">
        <v>3577</v>
      </c>
      <c r="L836">
        <v>17885</v>
      </c>
      <c r="M836">
        <v>11517.77</v>
      </c>
      <c r="N836">
        <v>6367.23</v>
      </c>
      <c r="O836" t="str">
        <f>TEXT(Table1[[#This Row],[Order_Date]],"yyy")</f>
        <v>2024</v>
      </c>
    </row>
    <row r="837" spans="1:15" x14ac:dyDescent="0.3">
      <c r="A837" t="s">
        <v>887</v>
      </c>
      <c r="B837" s="1">
        <v>45700</v>
      </c>
      <c r="C837" t="s">
        <v>3</v>
      </c>
      <c r="D837" t="s">
        <v>16</v>
      </c>
      <c r="E837" t="s">
        <v>11</v>
      </c>
      <c r="F837" t="s">
        <v>19</v>
      </c>
      <c r="G837" t="s">
        <v>19</v>
      </c>
      <c r="H837" t="s">
        <v>27</v>
      </c>
      <c r="I837" t="s">
        <v>15</v>
      </c>
      <c r="J837">
        <v>15</v>
      </c>
      <c r="K837">
        <v>3370</v>
      </c>
      <c r="L837">
        <v>50550</v>
      </c>
      <c r="M837">
        <v>35618.36</v>
      </c>
      <c r="N837">
        <v>14931.64</v>
      </c>
      <c r="O837" t="str">
        <f>TEXT(Table1[[#This Row],[Order_Date]],"yyy")</f>
        <v>2025</v>
      </c>
    </row>
    <row r="838" spans="1:15" x14ac:dyDescent="0.3">
      <c r="A838" t="s">
        <v>888</v>
      </c>
      <c r="B838" s="1">
        <v>45845</v>
      </c>
      <c r="C838" t="s">
        <v>22</v>
      </c>
      <c r="D838" t="s">
        <v>31</v>
      </c>
      <c r="E838" t="s">
        <v>4</v>
      </c>
      <c r="F838" t="s">
        <v>23</v>
      </c>
      <c r="G838" t="s">
        <v>23</v>
      </c>
      <c r="H838" t="s">
        <v>7</v>
      </c>
      <c r="I838" t="s">
        <v>8</v>
      </c>
      <c r="J838">
        <v>20</v>
      </c>
      <c r="K838">
        <v>4547</v>
      </c>
      <c r="L838">
        <v>90940</v>
      </c>
      <c r="M838">
        <v>68029.78</v>
      </c>
      <c r="N838">
        <v>22910.22</v>
      </c>
      <c r="O838" t="str">
        <f>TEXT(Table1[[#This Row],[Order_Date]],"yyy")</f>
        <v>2025</v>
      </c>
    </row>
    <row r="839" spans="1:15" x14ac:dyDescent="0.3">
      <c r="A839" t="s">
        <v>889</v>
      </c>
      <c r="B839" s="1">
        <v>45519</v>
      </c>
      <c r="C839" t="s">
        <v>22</v>
      </c>
      <c r="D839" t="s">
        <v>31</v>
      </c>
      <c r="E839" t="s">
        <v>11</v>
      </c>
      <c r="F839" t="s">
        <v>6</v>
      </c>
      <c r="G839" t="s">
        <v>6</v>
      </c>
      <c r="H839" t="s">
        <v>27</v>
      </c>
      <c r="I839" t="s">
        <v>8</v>
      </c>
      <c r="J839">
        <v>8</v>
      </c>
      <c r="K839">
        <v>4913</v>
      </c>
      <c r="L839">
        <v>39304</v>
      </c>
      <c r="M839">
        <v>24069.02</v>
      </c>
      <c r="N839">
        <v>15234.98</v>
      </c>
      <c r="O839" t="str">
        <f>TEXT(Table1[[#This Row],[Order_Date]],"yyy")</f>
        <v>2024</v>
      </c>
    </row>
    <row r="840" spans="1:15" x14ac:dyDescent="0.3">
      <c r="A840" t="s">
        <v>890</v>
      </c>
      <c r="B840" s="1">
        <v>45716</v>
      </c>
      <c r="C840" t="s">
        <v>22</v>
      </c>
      <c r="D840" t="s">
        <v>21</v>
      </c>
      <c r="E840" t="s">
        <v>4</v>
      </c>
      <c r="F840" t="s">
        <v>32</v>
      </c>
      <c r="G840" t="s">
        <v>32</v>
      </c>
      <c r="H840" t="s">
        <v>24</v>
      </c>
      <c r="I840" t="s">
        <v>8</v>
      </c>
      <c r="J840">
        <v>12</v>
      </c>
      <c r="K840">
        <v>2864</v>
      </c>
      <c r="L840">
        <v>34368</v>
      </c>
      <c r="M840">
        <v>20442.75</v>
      </c>
      <c r="N840">
        <v>13925.25</v>
      </c>
      <c r="O840" t="str">
        <f>TEXT(Table1[[#This Row],[Order_Date]],"yyy")</f>
        <v>2025</v>
      </c>
    </row>
    <row r="841" spans="1:15" x14ac:dyDescent="0.3">
      <c r="A841" t="s">
        <v>891</v>
      </c>
      <c r="B841" s="1">
        <v>45443</v>
      </c>
      <c r="C841" t="s">
        <v>10</v>
      </c>
      <c r="D841" t="s">
        <v>9</v>
      </c>
      <c r="E841" t="s">
        <v>11</v>
      </c>
      <c r="F841" t="s">
        <v>6</v>
      </c>
      <c r="G841" t="s">
        <v>6</v>
      </c>
      <c r="H841" t="s">
        <v>20</v>
      </c>
      <c r="I841" t="s">
        <v>15</v>
      </c>
      <c r="J841">
        <v>18</v>
      </c>
      <c r="K841">
        <v>3458</v>
      </c>
      <c r="L841">
        <v>62244</v>
      </c>
      <c r="M841">
        <v>48103.7</v>
      </c>
      <c r="N841">
        <v>14140.3</v>
      </c>
      <c r="O841" t="str">
        <f>TEXT(Table1[[#This Row],[Order_Date]],"yyy")</f>
        <v>2024</v>
      </c>
    </row>
    <row r="842" spans="1:15" x14ac:dyDescent="0.3">
      <c r="A842" t="s">
        <v>892</v>
      </c>
      <c r="B842" s="1">
        <v>45449</v>
      </c>
      <c r="C842" t="s">
        <v>17</v>
      </c>
      <c r="D842" t="s">
        <v>16</v>
      </c>
      <c r="E842" t="s">
        <v>11</v>
      </c>
      <c r="F842" t="s">
        <v>19</v>
      </c>
      <c r="G842" t="s">
        <v>19</v>
      </c>
      <c r="H842" t="s">
        <v>14</v>
      </c>
      <c r="I842" t="s">
        <v>15</v>
      </c>
      <c r="J842">
        <v>13</v>
      </c>
      <c r="K842">
        <v>3425</v>
      </c>
      <c r="L842">
        <v>44525</v>
      </c>
      <c r="M842">
        <v>30080.560000000001</v>
      </c>
      <c r="N842">
        <v>14444.44</v>
      </c>
      <c r="O842" t="str">
        <f>TEXT(Table1[[#This Row],[Order_Date]],"yyy")</f>
        <v>2024</v>
      </c>
    </row>
    <row r="843" spans="1:15" x14ac:dyDescent="0.3">
      <c r="A843" t="s">
        <v>893</v>
      </c>
      <c r="B843" s="1">
        <v>45860</v>
      </c>
      <c r="C843" t="s">
        <v>17</v>
      </c>
      <c r="D843" t="s">
        <v>28</v>
      </c>
      <c r="E843" t="s">
        <v>11</v>
      </c>
      <c r="F843" t="s">
        <v>6</v>
      </c>
      <c r="G843" t="s">
        <v>6</v>
      </c>
      <c r="H843" t="s">
        <v>24</v>
      </c>
      <c r="I843" t="s">
        <v>8</v>
      </c>
      <c r="J843">
        <v>7</v>
      </c>
      <c r="K843">
        <v>3216</v>
      </c>
      <c r="L843">
        <v>22512</v>
      </c>
      <c r="M843">
        <v>14403.16</v>
      </c>
      <c r="N843">
        <v>8108.84</v>
      </c>
      <c r="O843" t="str">
        <f>TEXT(Table1[[#This Row],[Order_Date]],"yyy")</f>
        <v>2025</v>
      </c>
    </row>
    <row r="844" spans="1:15" x14ac:dyDescent="0.3">
      <c r="A844" t="s">
        <v>894</v>
      </c>
      <c r="B844" s="1">
        <v>45449</v>
      </c>
      <c r="C844" t="s">
        <v>3</v>
      </c>
      <c r="D844" t="s">
        <v>28</v>
      </c>
      <c r="E844" t="s">
        <v>18</v>
      </c>
      <c r="F844" t="s">
        <v>34</v>
      </c>
      <c r="G844" t="s">
        <v>34</v>
      </c>
      <c r="H844" t="s">
        <v>30</v>
      </c>
      <c r="I844" t="s">
        <v>15</v>
      </c>
      <c r="J844">
        <v>9</v>
      </c>
      <c r="K844">
        <v>609</v>
      </c>
      <c r="L844">
        <v>5481</v>
      </c>
      <c r="M844">
        <v>3739.4</v>
      </c>
      <c r="N844">
        <v>1741.6</v>
      </c>
      <c r="O844" t="str">
        <f>TEXT(Table1[[#This Row],[Order_Date]],"yyy")</f>
        <v>2024</v>
      </c>
    </row>
    <row r="845" spans="1:15" x14ac:dyDescent="0.3">
      <c r="A845" t="s">
        <v>895</v>
      </c>
      <c r="B845" s="1">
        <v>45620</v>
      </c>
      <c r="C845" t="s">
        <v>10</v>
      </c>
      <c r="D845" t="s">
        <v>25</v>
      </c>
      <c r="E845" t="s">
        <v>4</v>
      </c>
      <c r="F845" t="s">
        <v>36</v>
      </c>
      <c r="G845" t="s">
        <v>36</v>
      </c>
      <c r="H845" t="s">
        <v>30</v>
      </c>
      <c r="I845" t="s">
        <v>8</v>
      </c>
      <c r="J845">
        <v>6</v>
      </c>
      <c r="K845">
        <v>4706</v>
      </c>
      <c r="L845">
        <v>28236</v>
      </c>
      <c r="M845">
        <v>20116.93</v>
      </c>
      <c r="N845">
        <v>8119.07</v>
      </c>
      <c r="O845" t="str">
        <f>TEXT(Table1[[#This Row],[Order_Date]],"yyy")</f>
        <v>2024</v>
      </c>
    </row>
    <row r="846" spans="1:15" x14ac:dyDescent="0.3">
      <c r="A846" t="s">
        <v>896</v>
      </c>
      <c r="B846" s="1">
        <v>45851</v>
      </c>
      <c r="C846" t="s">
        <v>17</v>
      </c>
      <c r="D846" t="s">
        <v>21</v>
      </c>
      <c r="E846" t="s">
        <v>11</v>
      </c>
      <c r="F846" t="s">
        <v>19</v>
      </c>
      <c r="G846" t="s">
        <v>19</v>
      </c>
      <c r="H846" t="s">
        <v>24</v>
      </c>
      <c r="I846" t="s">
        <v>15</v>
      </c>
      <c r="J846">
        <v>2</v>
      </c>
      <c r="K846">
        <v>2235</v>
      </c>
      <c r="L846">
        <v>4470</v>
      </c>
      <c r="M846">
        <v>2535.96</v>
      </c>
      <c r="N846">
        <v>1934.04</v>
      </c>
      <c r="O846" t="str">
        <f>TEXT(Table1[[#This Row],[Order_Date]],"yyy")</f>
        <v>2025</v>
      </c>
    </row>
    <row r="847" spans="1:15" x14ac:dyDescent="0.3">
      <c r="A847" t="s">
        <v>897</v>
      </c>
      <c r="B847" s="1">
        <v>45737</v>
      </c>
      <c r="C847" t="s">
        <v>17</v>
      </c>
      <c r="D847" t="s">
        <v>16</v>
      </c>
      <c r="E847" t="s">
        <v>11</v>
      </c>
      <c r="F847" t="s">
        <v>6</v>
      </c>
      <c r="G847" t="s">
        <v>6</v>
      </c>
      <c r="H847" t="s">
        <v>20</v>
      </c>
      <c r="I847" t="s">
        <v>8</v>
      </c>
      <c r="J847">
        <v>6</v>
      </c>
      <c r="K847">
        <v>4047</v>
      </c>
      <c r="L847">
        <v>24282</v>
      </c>
      <c r="M847">
        <v>15402.33</v>
      </c>
      <c r="N847">
        <v>8879.67</v>
      </c>
      <c r="O847" t="str">
        <f>TEXT(Table1[[#This Row],[Order_Date]],"yyy")</f>
        <v>2025</v>
      </c>
    </row>
    <row r="848" spans="1:15" x14ac:dyDescent="0.3">
      <c r="A848" t="s">
        <v>898</v>
      </c>
      <c r="B848" s="1">
        <v>46013</v>
      </c>
      <c r="C848" t="s">
        <v>22</v>
      </c>
      <c r="D848" t="s">
        <v>9</v>
      </c>
      <c r="E848" t="s">
        <v>4</v>
      </c>
      <c r="F848" t="s">
        <v>36</v>
      </c>
      <c r="G848" t="s">
        <v>36</v>
      </c>
      <c r="H848" t="s">
        <v>7</v>
      </c>
      <c r="I848" t="s">
        <v>15</v>
      </c>
      <c r="J848">
        <v>7</v>
      </c>
      <c r="K848">
        <v>379</v>
      </c>
      <c r="L848">
        <v>2653</v>
      </c>
      <c r="M848">
        <v>1853.03</v>
      </c>
      <c r="N848">
        <v>799.97</v>
      </c>
      <c r="O848" t="str">
        <f>TEXT(Table1[[#This Row],[Order_Date]],"yyy")</f>
        <v>2025</v>
      </c>
    </row>
    <row r="849" spans="1:15" x14ac:dyDescent="0.3">
      <c r="A849" t="s">
        <v>899</v>
      </c>
      <c r="B849" s="1">
        <v>45794</v>
      </c>
      <c r="C849" t="s">
        <v>22</v>
      </c>
      <c r="D849" t="s">
        <v>21</v>
      </c>
      <c r="E849" t="s">
        <v>4</v>
      </c>
      <c r="F849" t="s">
        <v>32</v>
      </c>
      <c r="G849" t="s">
        <v>32</v>
      </c>
      <c r="H849" t="s">
        <v>33</v>
      </c>
      <c r="I849" t="s">
        <v>8</v>
      </c>
      <c r="J849">
        <v>1</v>
      </c>
      <c r="K849">
        <v>2647</v>
      </c>
      <c r="L849">
        <v>2647</v>
      </c>
      <c r="M849">
        <v>1739.76</v>
      </c>
      <c r="N849">
        <v>907.24</v>
      </c>
      <c r="O849" t="str">
        <f>TEXT(Table1[[#This Row],[Order_Date]],"yyy")</f>
        <v>2025</v>
      </c>
    </row>
    <row r="850" spans="1:15" x14ac:dyDescent="0.3">
      <c r="A850" t="s">
        <v>900</v>
      </c>
      <c r="B850" s="1">
        <v>45949</v>
      </c>
      <c r="C850" t="s">
        <v>10</v>
      </c>
      <c r="D850" t="s">
        <v>9</v>
      </c>
      <c r="E850" t="s">
        <v>11</v>
      </c>
      <c r="F850" t="s">
        <v>13</v>
      </c>
      <c r="G850" t="s">
        <v>13</v>
      </c>
      <c r="H850" t="s">
        <v>24</v>
      </c>
      <c r="I850" t="s">
        <v>15</v>
      </c>
      <c r="J850">
        <v>14</v>
      </c>
      <c r="K850">
        <v>2552</v>
      </c>
      <c r="L850">
        <v>35728</v>
      </c>
      <c r="M850">
        <v>30079.63</v>
      </c>
      <c r="N850">
        <v>5648.37</v>
      </c>
      <c r="O850" t="str">
        <f>TEXT(Table1[[#This Row],[Order_Date]],"yyy")</f>
        <v>2025</v>
      </c>
    </row>
    <row r="851" spans="1:15" x14ac:dyDescent="0.3">
      <c r="A851" t="s">
        <v>901</v>
      </c>
      <c r="B851" s="1">
        <v>45431</v>
      </c>
      <c r="C851" t="s">
        <v>10</v>
      </c>
      <c r="D851" t="s">
        <v>9</v>
      </c>
      <c r="E851" t="s">
        <v>11</v>
      </c>
      <c r="F851" t="s">
        <v>13</v>
      </c>
      <c r="G851" t="s">
        <v>13</v>
      </c>
      <c r="H851" t="s">
        <v>35</v>
      </c>
      <c r="I851" t="s">
        <v>8</v>
      </c>
      <c r="J851">
        <v>12</v>
      </c>
      <c r="K851">
        <v>3240</v>
      </c>
      <c r="L851">
        <v>38880</v>
      </c>
      <c r="M851">
        <v>25896.18</v>
      </c>
      <c r="N851">
        <v>12983.82</v>
      </c>
      <c r="O851" t="str">
        <f>TEXT(Table1[[#This Row],[Order_Date]],"yyy")</f>
        <v>2024</v>
      </c>
    </row>
    <row r="852" spans="1:15" x14ac:dyDescent="0.3">
      <c r="A852" t="s">
        <v>902</v>
      </c>
      <c r="B852" s="1">
        <v>45476</v>
      </c>
      <c r="C852" t="s">
        <v>17</v>
      </c>
      <c r="D852" t="s">
        <v>25</v>
      </c>
      <c r="E852" t="s">
        <v>11</v>
      </c>
      <c r="F852" t="s">
        <v>13</v>
      </c>
      <c r="G852" t="s">
        <v>13</v>
      </c>
      <c r="H852" t="s">
        <v>7</v>
      </c>
      <c r="I852" t="s">
        <v>8</v>
      </c>
      <c r="J852">
        <v>6</v>
      </c>
      <c r="K852">
        <v>3851</v>
      </c>
      <c r="L852">
        <v>23106</v>
      </c>
      <c r="M852">
        <v>15853.69</v>
      </c>
      <c r="N852">
        <v>7252.31</v>
      </c>
      <c r="O852" t="str">
        <f>TEXT(Table1[[#This Row],[Order_Date]],"yyy")</f>
        <v>2024</v>
      </c>
    </row>
    <row r="853" spans="1:15" x14ac:dyDescent="0.3">
      <c r="A853" t="s">
        <v>903</v>
      </c>
      <c r="B853" s="1">
        <v>46012</v>
      </c>
      <c r="C853" t="s">
        <v>10</v>
      </c>
      <c r="D853" t="s">
        <v>16</v>
      </c>
      <c r="E853" t="s">
        <v>11</v>
      </c>
      <c r="F853" t="s">
        <v>6</v>
      </c>
      <c r="G853" t="s">
        <v>6</v>
      </c>
      <c r="H853" t="s">
        <v>30</v>
      </c>
      <c r="I853" t="s">
        <v>8</v>
      </c>
      <c r="J853">
        <v>19</v>
      </c>
      <c r="K853">
        <v>467</v>
      </c>
      <c r="L853">
        <v>8873</v>
      </c>
      <c r="M853">
        <v>4980.13</v>
      </c>
      <c r="N853">
        <v>3892.87</v>
      </c>
      <c r="O853" t="str">
        <f>TEXT(Table1[[#This Row],[Order_Date]],"yyy")</f>
        <v>2025</v>
      </c>
    </row>
    <row r="854" spans="1:15" x14ac:dyDescent="0.3">
      <c r="A854" t="s">
        <v>904</v>
      </c>
      <c r="B854" s="1">
        <v>45633</v>
      </c>
      <c r="C854" t="s">
        <v>3</v>
      </c>
      <c r="D854" t="s">
        <v>25</v>
      </c>
      <c r="E854" t="s">
        <v>4</v>
      </c>
      <c r="F854" t="s">
        <v>32</v>
      </c>
      <c r="G854" t="s">
        <v>32</v>
      </c>
      <c r="H854" t="s">
        <v>24</v>
      </c>
      <c r="I854" t="s">
        <v>8</v>
      </c>
      <c r="J854">
        <v>1</v>
      </c>
      <c r="K854">
        <v>4082</v>
      </c>
      <c r="L854">
        <v>4082</v>
      </c>
      <c r="M854">
        <v>2536.02</v>
      </c>
      <c r="N854">
        <v>1545.98</v>
      </c>
      <c r="O854" t="str">
        <f>TEXT(Table1[[#This Row],[Order_Date]],"yyy")</f>
        <v>2024</v>
      </c>
    </row>
    <row r="855" spans="1:15" x14ac:dyDescent="0.3">
      <c r="A855" t="s">
        <v>905</v>
      </c>
      <c r="B855" s="1">
        <v>45660</v>
      </c>
      <c r="C855" t="s">
        <v>22</v>
      </c>
      <c r="D855" t="s">
        <v>31</v>
      </c>
      <c r="E855" t="s">
        <v>18</v>
      </c>
      <c r="F855" t="s">
        <v>26</v>
      </c>
      <c r="G855" t="s">
        <v>26</v>
      </c>
      <c r="H855" t="s">
        <v>30</v>
      </c>
      <c r="I855" t="s">
        <v>15</v>
      </c>
      <c r="J855">
        <v>20</v>
      </c>
      <c r="K855">
        <v>1395</v>
      </c>
      <c r="L855">
        <v>27900</v>
      </c>
      <c r="M855">
        <v>21054.799999999999</v>
      </c>
      <c r="N855">
        <v>6845.2</v>
      </c>
      <c r="O855" t="str">
        <f>TEXT(Table1[[#This Row],[Order_Date]],"yyy")</f>
        <v>2025</v>
      </c>
    </row>
    <row r="856" spans="1:15" x14ac:dyDescent="0.3">
      <c r="A856" t="s">
        <v>906</v>
      </c>
      <c r="B856" s="1">
        <v>45641</v>
      </c>
      <c r="C856" t="s">
        <v>3</v>
      </c>
      <c r="D856" t="s">
        <v>25</v>
      </c>
      <c r="E856" t="s">
        <v>11</v>
      </c>
      <c r="F856" t="s">
        <v>19</v>
      </c>
      <c r="G856" t="s">
        <v>19</v>
      </c>
      <c r="H856" t="s">
        <v>20</v>
      </c>
      <c r="I856" t="s">
        <v>15</v>
      </c>
      <c r="J856">
        <v>7</v>
      </c>
      <c r="K856">
        <v>2017</v>
      </c>
      <c r="L856">
        <v>14119</v>
      </c>
      <c r="M856">
        <v>9270.81</v>
      </c>
      <c r="N856">
        <v>4848.1899999999996</v>
      </c>
      <c r="O856" t="str">
        <f>TEXT(Table1[[#This Row],[Order_Date]],"yyy")</f>
        <v>2024</v>
      </c>
    </row>
    <row r="857" spans="1:15" x14ac:dyDescent="0.3">
      <c r="A857" t="s">
        <v>907</v>
      </c>
      <c r="B857" s="1">
        <v>45808</v>
      </c>
      <c r="C857" t="s">
        <v>10</v>
      </c>
      <c r="D857" t="s">
        <v>16</v>
      </c>
      <c r="E857" t="s">
        <v>4</v>
      </c>
      <c r="F857" t="s">
        <v>36</v>
      </c>
      <c r="G857" t="s">
        <v>36</v>
      </c>
      <c r="H857" t="s">
        <v>27</v>
      </c>
      <c r="I857" t="s">
        <v>8</v>
      </c>
      <c r="J857">
        <v>14</v>
      </c>
      <c r="K857">
        <v>3939</v>
      </c>
      <c r="L857">
        <v>55146</v>
      </c>
      <c r="M857">
        <v>40099.54</v>
      </c>
      <c r="N857">
        <v>15046.46</v>
      </c>
      <c r="O857" t="str">
        <f>TEXT(Table1[[#This Row],[Order_Date]],"yyy")</f>
        <v>2025</v>
      </c>
    </row>
    <row r="858" spans="1:15" x14ac:dyDescent="0.3">
      <c r="A858" t="s">
        <v>908</v>
      </c>
      <c r="B858" s="1">
        <v>45296</v>
      </c>
      <c r="C858" t="s">
        <v>3</v>
      </c>
      <c r="D858" t="s">
        <v>9</v>
      </c>
      <c r="E858" t="s">
        <v>18</v>
      </c>
      <c r="F858" t="s">
        <v>29</v>
      </c>
      <c r="G858" t="s">
        <v>29</v>
      </c>
      <c r="H858" t="s">
        <v>20</v>
      </c>
      <c r="I858" t="s">
        <v>8</v>
      </c>
      <c r="J858">
        <v>4</v>
      </c>
      <c r="K858">
        <v>471</v>
      </c>
      <c r="L858">
        <v>1884</v>
      </c>
      <c r="M858">
        <v>1474.96</v>
      </c>
      <c r="N858">
        <v>409.04</v>
      </c>
      <c r="O858" t="str">
        <f>TEXT(Table1[[#This Row],[Order_Date]],"yyy")</f>
        <v>2024</v>
      </c>
    </row>
    <row r="859" spans="1:15" x14ac:dyDescent="0.3">
      <c r="A859" t="s">
        <v>909</v>
      </c>
      <c r="B859" s="1">
        <v>45576</v>
      </c>
      <c r="C859" t="s">
        <v>17</v>
      </c>
      <c r="D859" t="s">
        <v>9</v>
      </c>
      <c r="E859" t="s">
        <v>18</v>
      </c>
      <c r="F859" t="s">
        <v>26</v>
      </c>
      <c r="G859" t="s">
        <v>26</v>
      </c>
      <c r="H859" t="s">
        <v>30</v>
      </c>
      <c r="I859" t="s">
        <v>8</v>
      </c>
      <c r="J859">
        <v>5</v>
      </c>
      <c r="K859">
        <v>2376</v>
      </c>
      <c r="L859">
        <v>11880</v>
      </c>
      <c r="M859">
        <v>8260.6</v>
      </c>
      <c r="N859">
        <v>3619.4</v>
      </c>
      <c r="O859" t="str">
        <f>TEXT(Table1[[#This Row],[Order_Date]],"yyy")</f>
        <v>2024</v>
      </c>
    </row>
    <row r="860" spans="1:15" x14ac:dyDescent="0.3">
      <c r="A860" t="s">
        <v>910</v>
      </c>
      <c r="B860" s="1">
        <v>45953</v>
      </c>
      <c r="C860" t="s">
        <v>22</v>
      </c>
      <c r="D860" t="s">
        <v>16</v>
      </c>
      <c r="E860" t="s">
        <v>18</v>
      </c>
      <c r="F860" t="s">
        <v>29</v>
      </c>
      <c r="G860" t="s">
        <v>29</v>
      </c>
      <c r="H860" t="s">
        <v>24</v>
      </c>
      <c r="I860" t="s">
        <v>8</v>
      </c>
      <c r="J860">
        <v>15</v>
      </c>
      <c r="K860">
        <v>1905</v>
      </c>
      <c r="L860">
        <v>28575</v>
      </c>
      <c r="M860">
        <v>24027.93</v>
      </c>
      <c r="N860">
        <v>4547.07</v>
      </c>
      <c r="O860" t="str">
        <f>TEXT(Table1[[#This Row],[Order_Date]],"yyy")</f>
        <v>2025</v>
      </c>
    </row>
    <row r="861" spans="1:15" x14ac:dyDescent="0.3">
      <c r="A861" t="s">
        <v>911</v>
      </c>
      <c r="B861" s="1">
        <v>45457</v>
      </c>
      <c r="C861" t="s">
        <v>22</v>
      </c>
      <c r="D861" t="s">
        <v>28</v>
      </c>
      <c r="E861" t="s">
        <v>4</v>
      </c>
      <c r="F861" t="s">
        <v>36</v>
      </c>
      <c r="G861" t="s">
        <v>36</v>
      </c>
      <c r="H861" t="s">
        <v>30</v>
      </c>
      <c r="I861" t="s">
        <v>15</v>
      </c>
      <c r="J861">
        <v>3</v>
      </c>
      <c r="K861">
        <v>945</v>
      </c>
      <c r="L861">
        <v>2835</v>
      </c>
      <c r="M861">
        <v>1710.83</v>
      </c>
      <c r="N861">
        <v>1124.17</v>
      </c>
      <c r="O861" t="str">
        <f>TEXT(Table1[[#This Row],[Order_Date]],"yyy")</f>
        <v>2024</v>
      </c>
    </row>
    <row r="862" spans="1:15" x14ac:dyDescent="0.3">
      <c r="A862" t="s">
        <v>912</v>
      </c>
      <c r="B862" s="1">
        <v>45730</v>
      </c>
      <c r="C862" t="s">
        <v>10</v>
      </c>
      <c r="D862" t="s">
        <v>25</v>
      </c>
      <c r="E862" t="s">
        <v>4</v>
      </c>
      <c r="F862" t="s">
        <v>32</v>
      </c>
      <c r="G862" t="s">
        <v>32</v>
      </c>
      <c r="H862" t="s">
        <v>24</v>
      </c>
      <c r="I862" t="s">
        <v>8</v>
      </c>
      <c r="J862">
        <v>19</v>
      </c>
      <c r="K862">
        <v>4851</v>
      </c>
      <c r="L862">
        <v>92169</v>
      </c>
      <c r="M862">
        <v>59811.27</v>
      </c>
      <c r="N862">
        <v>32357.73</v>
      </c>
      <c r="O862" t="str">
        <f>TEXT(Table1[[#This Row],[Order_Date]],"yyy")</f>
        <v>2025</v>
      </c>
    </row>
    <row r="863" spans="1:15" x14ac:dyDescent="0.3">
      <c r="A863" t="s">
        <v>913</v>
      </c>
      <c r="B863" s="1">
        <v>45300</v>
      </c>
      <c r="C863" t="s">
        <v>22</v>
      </c>
      <c r="D863" t="s">
        <v>28</v>
      </c>
      <c r="E863" t="s">
        <v>18</v>
      </c>
      <c r="F863" t="s">
        <v>26</v>
      </c>
      <c r="G863" t="s">
        <v>26</v>
      </c>
      <c r="H863" t="s">
        <v>7</v>
      </c>
      <c r="I863" t="s">
        <v>8</v>
      </c>
      <c r="J863">
        <v>5</v>
      </c>
      <c r="K863">
        <v>4981</v>
      </c>
      <c r="L863">
        <v>24905</v>
      </c>
      <c r="M863">
        <v>17201.009999999998</v>
      </c>
      <c r="N863">
        <v>7703.99</v>
      </c>
      <c r="O863" t="str">
        <f>TEXT(Table1[[#This Row],[Order_Date]],"yyy")</f>
        <v>2024</v>
      </c>
    </row>
    <row r="864" spans="1:15" x14ac:dyDescent="0.3">
      <c r="A864" t="s">
        <v>914</v>
      </c>
      <c r="B864" s="1">
        <v>45707</v>
      </c>
      <c r="C864" t="s">
        <v>3</v>
      </c>
      <c r="D864" t="s">
        <v>31</v>
      </c>
      <c r="E864" t="s">
        <v>18</v>
      </c>
      <c r="F864" t="s">
        <v>26</v>
      </c>
      <c r="G864" t="s">
        <v>26</v>
      </c>
      <c r="H864" t="s">
        <v>20</v>
      </c>
      <c r="I864" t="s">
        <v>8</v>
      </c>
      <c r="J864">
        <v>19</v>
      </c>
      <c r="K864">
        <v>2378</v>
      </c>
      <c r="L864">
        <v>45182</v>
      </c>
      <c r="M864">
        <v>37416.949999999997</v>
      </c>
      <c r="N864">
        <v>7765.05</v>
      </c>
      <c r="O864" t="str">
        <f>TEXT(Table1[[#This Row],[Order_Date]],"yyy")</f>
        <v>2025</v>
      </c>
    </row>
    <row r="865" spans="1:15" x14ac:dyDescent="0.3">
      <c r="A865" t="s">
        <v>915</v>
      </c>
      <c r="B865" s="1">
        <v>45646</v>
      </c>
      <c r="C865" t="s">
        <v>10</v>
      </c>
      <c r="D865" t="s">
        <v>25</v>
      </c>
      <c r="E865" t="s">
        <v>11</v>
      </c>
      <c r="F865" t="s">
        <v>19</v>
      </c>
      <c r="G865" t="s">
        <v>19</v>
      </c>
      <c r="H865" t="s">
        <v>27</v>
      </c>
      <c r="I865" t="s">
        <v>8</v>
      </c>
      <c r="J865">
        <v>5</v>
      </c>
      <c r="K865">
        <v>4588</v>
      </c>
      <c r="L865">
        <v>22940</v>
      </c>
      <c r="M865">
        <v>17383.57</v>
      </c>
      <c r="N865">
        <v>5556.43</v>
      </c>
      <c r="O865" t="str">
        <f>TEXT(Table1[[#This Row],[Order_Date]],"yyy")</f>
        <v>2024</v>
      </c>
    </row>
    <row r="866" spans="1:15" x14ac:dyDescent="0.3">
      <c r="A866" t="s">
        <v>916</v>
      </c>
      <c r="B866" s="1">
        <v>45678</v>
      </c>
      <c r="C866" t="s">
        <v>10</v>
      </c>
      <c r="D866" t="s">
        <v>28</v>
      </c>
      <c r="E866" t="s">
        <v>11</v>
      </c>
      <c r="F866" t="s">
        <v>19</v>
      </c>
      <c r="G866" t="s">
        <v>19</v>
      </c>
      <c r="H866" t="s">
        <v>24</v>
      </c>
      <c r="I866" t="s">
        <v>8</v>
      </c>
      <c r="J866">
        <v>11</v>
      </c>
      <c r="K866">
        <v>3278</v>
      </c>
      <c r="L866">
        <v>36058</v>
      </c>
      <c r="M866">
        <v>26329.02</v>
      </c>
      <c r="N866">
        <v>9728.98</v>
      </c>
      <c r="O866" t="str">
        <f>TEXT(Table1[[#This Row],[Order_Date]],"yyy")</f>
        <v>2025</v>
      </c>
    </row>
    <row r="867" spans="1:15" x14ac:dyDescent="0.3">
      <c r="A867" t="s">
        <v>917</v>
      </c>
      <c r="B867" s="1">
        <v>45883</v>
      </c>
      <c r="C867" t="s">
        <v>17</v>
      </c>
      <c r="D867" t="s">
        <v>31</v>
      </c>
      <c r="E867" t="s">
        <v>18</v>
      </c>
      <c r="F867" t="s">
        <v>34</v>
      </c>
      <c r="G867" t="s">
        <v>34</v>
      </c>
      <c r="H867" t="s">
        <v>35</v>
      </c>
      <c r="I867" t="s">
        <v>8</v>
      </c>
      <c r="J867">
        <v>16</v>
      </c>
      <c r="K867">
        <v>1192</v>
      </c>
      <c r="L867">
        <v>19072</v>
      </c>
      <c r="M867">
        <v>10726.99</v>
      </c>
      <c r="N867">
        <v>8345.01</v>
      </c>
      <c r="O867" t="str">
        <f>TEXT(Table1[[#This Row],[Order_Date]],"yyy")</f>
        <v>2025</v>
      </c>
    </row>
    <row r="868" spans="1:15" x14ac:dyDescent="0.3">
      <c r="A868" t="s">
        <v>918</v>
      </c>
      <c r="B868" s="1">
        <v>46014</v>
      </c>
      <c r="C868" t="s">
        <v>10</v>
      </c>
      <c r="D868" t="s">
        <v>16</v>
      </c>
      <c r="E868" t="s">
        <v>18</v>
      </c>
      <c r="F868" t="s">
        <v>29</v>
      </c>
      <c r="G868" t="s">
        <v>29</v>
      </c>
      <c r="H868" t="s">
        <v>20</v>
      </c>
      <c r="I868" t="s">
        <v>15</v>
      </c>
      <c r="J868">
        <v>4</v>
      </c>
      <c r="K868">
        <v>4014</v>
      </c>
      <c r="L868">
        <v>16056</v>
      </c>
      <c r="M868">
        <v>11031.2</v>
      </c>
      <c r="N868">
        <v>5024.8</v>
      </c>
      <c r="O868" t="str">
        <f>TEXT(Table1[[#This Row],[Order_Date]],"yyy")</f>
        <v>2025</v>
      </c>
    </row>
    <row r="869" spans="1:15" x14ac:dyDescent="0.3">
      <c r="A869" t="s">
        <v>919</v>
      </c>
      <c r="B869" s="1">
        <v>45743</v>
      </c>
      <c r="C869" t="s">
        <v>3</v>
      </c>
      <c r="D869" t="s">
        <v>25</v>
      </c>
      <c r="E869" t="s">
        <v>4</v>
      </c>
      <c r="F869" t="s">
        <v>36</v>
      </c>
      <c r="G869" t="s">
        <v>36</v>
      </c>
      <c r="H869" t="s">
        <v>30</v>
      </c>
      <c r="I869" t="s">
        <v>15</v>
      </c>
      <c r="J869">
        <v>4</v>
      </c>
      <c r="K869">
        <v>393</v>
      </c>
      <c r="L869">
        <v>1572</v>
      </c>
      <c r="M869">
        <v>1234.97</v>
      </c>
      <c r="N869">
        <v>337.03</v>
      </c>
      <c r="O869" t="str">
        <f>TEXT(Table1[[#This Row],[Order_Date]],"yyy")</f>
        <v>2025</v>
      </c>
    </row>
    <row r="870" spans="1:15" x14ac:dyDescent="0.3">
      <c r="A870" t="s">
        <v>920</v>
      </c>
      <c r="B870" s="1">
        <v>45750</v>
      </c>
      <c r="C870" t="s">
        <v>3</v>
      </c>
      <c r="D870" t="s">
        <v>16</v>
      </c>
      <c r="E870" t="s">
        <v>18</v>
      </c>
      <c r="F870" t="s">
        <v>26</v>
      </c>
      <c r="G870" t="s">
        <v>26</v>
      </c>
      <c r="H870" t="s">
        <v>24</v>
      </c>
      <c r="I870" t="s">
        <v>15</v>
      </c>
      <c r="J870">
        <v>4</v>
      </c>
      <c r="K870">
        <v>4862</v>
      </c>
      <c r="L870">
        <v>19448</v>
      </c>
      <c r="M870">
        <v>12346.61</v>
      </c>
      <c r="N870">
        <v>7101.39</v>
      </c>
      <c r="O870" t="str">
        <f>TEXT(Table1[[#This Row],[Order_Date]],"yyy")</f>
        <v>2025</v>
      </c>
    </row>
    <row r="871" spans="1:15" x14ac:dyDescent="0.3">
      <c r="A871" t="s">
        <v>921</v>
      </c>
      <c r="B871" s="1">
        <v>45614</v>
      </c>
      <c r="C871" t="s">
        <v>3</v>
      </c>
      <c r="D871" t="s">
        <v>25</v>
      </c>
      <c r="E871" t="s">
        <v>11</v>
      </c>
      <c r="F871" t="s">
        <v>13</v>
      </c>
      <c r="G871" t="s">
        <v>13</v>
      </c>
      <c r="H871" t="s">
        <v>33</v>
      </c>
      <c r="I871" t="s">
        <v>15</v>
      </c>
      <c r="J871">
        <v>7</v>
      </c>
      <c r="K871">
        <v>3527</v>
      </c>
      <c r="L871">
        <v>24689</v>
      </c>
      <c r="M871">
        <v>17561.7</v>
      </c>
      <c r="N871">
        <v>7127.3</v>
      </c>
      <c r="O871" t="str">
        <f>TEXT(Table1[[#This Row],[Order_Date]],"yyy")</f>
        <v>2024</v>
      </c>
    </row>
    <row r="872" spans="1:15" x14ac:dyDescent="0.3">
      <c r="A872" t="s">
        <v>922</v>
      </c>
      <c r="B872" s="1">
        <v>45995</v>
      </c>
      <c r="C872" t="s">
        <v>17</v>
      </c>
      <c r="D872" t="s">
        <v>31</v>
      </c>
      <c r="E872" t="s">
        <v>4</v>
      </c>
      <c r="F872" t="s">
        <v>23</v>
      </c>
      <c r="G872" t="s">
        <v>23</v>
      </c>
      <c r="H872" t="s">
        <v>24</v>
      </c>
      <c r="I872" t="s">
        <v>15</v>
      </c>
      <c r="J872">
        <v>17</v>
      </c>
      <c r="K872">
        <v>4238</v>
      </c>
      <c r="L872">
        <v>72046</v>
      </c>
      <c r="M872">
        <v>42341.97</v>
      </c>
      <c r="N872">
        <v>29704.03</v>
      </c>
      <c r="O872" t="str">
        <f>TEXT(Table1[[#This Row],[Order_Date]],"yyy")</f>
        <v>2025</v>
      </c>
    </row>
    <row r="873" spans="1:15" x14ac:dyDescent="0.3">
      <c r="A873" t="s">
        <v>923</v>
      </c>
      <c r="B873" s="1">
        <v>45593</v>
      </c>
      <c r="C873" t="s">
        <v>10</v>
      </c>
      <c r="D873" t="s">
        <v>28</v>
      </c>
      <c r="E873" t="s">
        <v>11</v>
      </c>
      <c r="F873" t="s">
        <v>6</v>
      </c>
      <c r="G873" t="s">
        <v>6</v>
      </c>
      <c r="H873" t="s">
        <v>35</v>
      </c>
      <c r="I873" t="s">
        <v>15</v>
      </c>
      <c r="J873">
        <v>16</v>
      </c>
      <c r="K873">
        <v>3954</v>
      </c>
      <c r="L873">
        <v>63264</v>
      </c>
      <c r="M873">
        <v>51254.76</v>
      </c>
      <c r="N873">
        <v>12009.24</v>
      </c>
      <c r="O873" t="str">
        <f>TEXT(Table1[[#This Row],[Order_Date]],"yyy")</f>
        <v>2024</v>
      </c>
    </row>
    <row r="874" spans="1:15" x14ac:dyDescent="0.3">
      <c r="A874" t="s">
        <v>924</v>
      </c>
      <c r="B874" s="1">
        <v>45887</v>
      </c>
      <c r="C874" t="s">
        <v>3</v>
      </c>
      <c r="D874" t="s">
        <v>25</v>
      </c>
      <c r="E874" t="s">
        <v>4</v>
      </c>
      <c r="F874" t="s">
        <v>23</v>
      </c>
      <c r="G874" t="s">
        <v>23</v>
      </c>
      <c r="H874" t="s">
        <v>20</v>
      </c>
      <c r="I874" t="s">
        <v>8</v>
      </c>
      <c r="J874">
        <v>19</v>
      </c>
      <c r="K874">
        <v>4376</v>
      </c>
      <c r="L874">
        <v>83144</v>
      </c>
      <c r="M874">
        <v>53037.03</v>
      </c>
      <c r="N874">
        <v>30106.97</v>
      </c>
      <c r="O874" t="str">
        <f>TEXT(Table1[[#This Row],[Order_Date]],"yyy")</f>
        <v>2025</v>
      </c>
    </row>
    <row r="875" spans="1:15" x14ac:dyDescent="0.3">
      <c r="A875" t="s">
        <v>925</v>
      </c>
      <c r="B875" s="1">
        <v>45694</v>
      </c>
      <c r="C875" t="s">
        <v>17</v>
      </c>
      <c r="D875" t="s">
        <v>9</v>
      </c>
      <c r="E875" t="s">
        <v>18</v>
      </c>
      <c r="F875" t="s">
        <v>26</v>
      </c>
      <c r="G875" t="s">
        <v>26</v>
      </c>
      <c r="H875" t="s">
        <v>24</v>
      </c>
      <c r="I875" t="s">
        <v>8</v>
      </c>
      <c r="J875">
        <v>4</v>
      </c>
      <c r="K875">
        <v>3981</v>
      </c>
      <c r="L875">
        <v>15924</v>
      </c>
      <c r="M875">
        <v>10336.200000000001</v>
      </c>
      <c r="N875">
        <v>5587.8</v>
      </c>
      <c r="O875" t="str">
        <f>TEXT(Table1[[#This Row],[Order_Date]],"yyy")</f>
        <v>2025</v>
      </c>
    </row>
    <row r="876" spans="1:15" x14ac:dyDescent="0.3">
      <c r="A876" t="s">
        <v>926</v>
      </c>
      <c r="B876" s="1">
        <v>45496</v>
      </c>
      <c r="C876" t="s">
        <v>17</v>
      </c>
      <c r="D876" t="s">
        <v>25</v>
      </c>
      <c r="E876" t="s">
        <v>11</v>
      </c>
      <c r="F876" t="s">
        <v>13</v>
      </c>
      <c r="G876" t="s">
        <v>13</v>
      </c>
      <c r="H876" t="s">
        <v>20</v>
      </c>
      <c r="I876" t="s">
        <v>15</v>
      </c>
      <c r="J876">
        <v>18</v>
      </c>
      <c r="K876">
        <v>3627</v>
      </c>
      <c r="L876">
        <v>65286</v>
      </c>
      <c r="M876">
        <v>53870.57</v>
      </c>
      <c r="N876">
        <v>11415.43</v>
      </c>
      <c r="O876" t="str">
        <f>TEXT(Table1[[#This Row],[Order_Date]],"yyy")</f>
        <v>2024</v>
      </c>
    </row>
    <row r="877" spans="1:15" x14ac:dyDescent="0.3">
      <c r="A877" t="s">
        <v>927</v>
      </c>
      <c r="B877" s="1">
        <v>45877</v>
      </c>
      <c r="C877" t="s">
        <v>10</v>
      </c>
      <c r="D877" t="s">
        <v>21</v>
      </c>
      <c r="E877" t="s">
        <v>18</v>
      </c>
      <c r="F877" t="s">
        <v>34</v>
      </c>
      <c r="G877" t="s">
        <v>34</v>
      </c>
      <c r="H877" t="s">
        <v>27</v>
      </c>
      <c r="I877" t="s">
        <v>8</v>
      </c>
      <c r="J877">
        <v>2</v>
      </c>
      <c r="K877">
        <v>1314</v>
      </c>
      <c r="L877">
        <v>2628</v>
      </c>
      <c r="M877">
        <v>1465.93</v>
      </c>
      <c r="N877">
        <v>1162.07</v>
      </c>
      <c r="O877" t="str">
        <f>TEXT(Table1[[#This Row],[Order_Date]],"yyy")</f>
        <v>2025</v>
      </c>
    </row>
    <row r="878" spans="1:15" x14ac:dyDescent="0.3">
      <c r="A878" t="s">
        <v>928</v>
      </c>
      <c r="B878" s="1">
        <v>45889</v>
      </c>
      <c r="C878" t="s">
        <v>17</v>
      </c>
      <c r="D878" t="s">
        <v>9</v>
      </c>
      <c r="E878" t="s">
        <v>11</v>
      </c>
      <c r="F878" t="s">
        <v>19</v>
      </c>
      <c r="G878" t="s">
        <v>19</v>
      </c>
      <c r="H878" t="s">
        <v>30</v>
      </c>
      <c r="I878" t="s">
        <v>8</v>
      </c>
      <c r="J878">
        <v>12</v>
      </c>
      <c r="K878">
        <v>3308</v>
      </c>
      <c r="L878">
        <v>39696</v>
      </c>
      <c r="M878">
        <v>31753.26</v>
      </c>
      <c r="N878">
        <v>7942.74</v>
      </c>
      <c r="O878" t="str">
        <f>TEXT(Table1[[#This Row],[Order_Date]],"yyy")</f>
        <v>2025</v>
      </c>
    </row>
    <row r="879" spans="1:15" x14ac:dyDescent="0.3">
      <c r="A879" t="s">
        <v>929</v>
      </c>
      <c r="B879" s="1">
        <v>45515</v>
      </c>
      <c r="C879" t="s">
        <v>3</v>
      </c>
      <c r="D879" t="s">
        <v>9</v>
      </c>
      <c r="E879" t="s">
        <v>11</v>
      </c>
      <c r="F879" t="s">
        <v>6</v>
      </c>
      <c r="G879" t="s">
        <v>6</v>
      </c>
      <c r="H879" t="s">
        <v>24</v>
      </c>
      <c r="I879" t="s">
        <v>15</v>
      </c>
      <c r="J879">
        <v>5</v>
      </c>
      <c r="K879">
        <v>3478</v>
      </c>
      <c r="L879">
        <v>17390</v>
      </c>
      <c r="M879">
        <v>9649.76</v>
      </c>
      <c r="N879">
        <v>7740.24</v>
      </c>
      <c r="O879" t="str">
        <f>TEXT(Table1[[#This Row],[Order_Date]],"yyy")</f>
        <v>2024</v>
      </c>
    </row>
    <row r="880" spans="1:15" x14ac:dyDescent="0.3">
      <c r="A880" t="s">
        <v>930</v>
      </c>
      <c r="B880" s="1">
        <v>45944</v>
      </c>
      <c r="C880" t="s">
        <v>22</v>
      </c>
      <c r="D880" t="s">
        <v>9</v>
      </c>
      <c r="E880" t="s">
        <v>4</v>
      </c>
      <c r="F880" t="s">
        <v>32</v>
      </c>
      <c r="G880" t="s">
        <v>32</v>
      </c>
      <c r="H880" t="s">
        <v>33</v>
      </c>
      <c r="I880" t="s">
        <v>15</v>
      </c>
      <c r="J880">
        <v>17</v>
      </c>
      <c r="K880">
        <v>177</v>
      </c>
      <c r="L880">
        <v>3009</v>
      </c>
      <c r="M880">
        <v>2056.4699999999998</v>
      </c>
      <c r="N880">
        <v>952.53</v>
      </c>
      <c r="O880" t="str">
        <f>TEXT(Table1[[#This Row],[Order_Date]],"yyy")</f>
        <v>2025</v>
      </c>
    </row>
    <row r="881" spans="1:15" x14ac:dyDescent="0.3">
      <c r="A881" t="s">
        <v>931</v>
      </c>
      <c r="B881" s="1">
        <v>45643</v>
      </c>
      <c r="C881" t="s">
        <v>17</v>
      </c>
      <c r="D881" t="s">
        <v>21</v>
      </c>
      <c r="E881" t="s">
        <v>11</v>
      </c>
      <c r="F881" t="s">
        <v>19</v>
      </c>
      <c r="G881" t="s">
        <v>19</v>
      </c>
      <c r="H881" t="s">
        <v>14</v>
      </c>
      <c r="I881" t="s">
        <v>8</v>
      </c>
      <c r="J881">
        <v>17</v>
      </c>
      <c r="K881">
        <v>537</v>
      </c>
      <c r="L881">
        <v>9129</v>
      </c>
      <c r="M881">
        <v>6084.65</v>
      </c>
      <c r="N881">
        <v>3044.35</v>
      </c>
      <c r="O881" t="str">
        <f>TEXT(Table1[[#This Row],[Order_Date]],"yyy")</f>
        <v>2024</v>
      </c>
    </row>
    <row r="882" spans="1:15" x14ac:dyDescent="0.3">
      <c r="A882" t="s">
        <v>932</v>
      </c>
      <c r="B882" s="1">
        <v>45407</v>
      </c>
      <c r="C882" t="s">
        <v>10</v>
      </c>
      <c r="D882" t="s">
        <v>9</v>
      </c>
      <c r="E882" t="s">
        <v>11</v>
      </c>
      <c r="F882" t="s">
        <v>6</v>
      </c>
      <c r="G882" t="s">
        <v>6</v>
      </c>
      <c r="H882" t="s">
        <v>14</v>
      </c>
      <c r="I882" t="s">
        <v>15</v>
      </c>
      <c r="J882">
        <v>1</v>
      </c>
      <c r="K882">
        <v>1052</v>
      </c>
      <c r="L882">
        <v>1052</v>
      </c>
      <c r="M882">
        <v>647.16999999999996</v>
      </c>
      <c r="N882">
        <v>404.83</v>
      </c>
      <c r="O882" t="str">
        <f>TEXT(Table1[[#This Row],[Order_Date]],"yyy")</f>
        <v>2024</v>
      </c>
    </row>
    <row r="883" spans="1:15" x14ac:dyDescent="0.3">
      <c r="A883" t="s">
        <v>933</v>
      </c>
      <c r="B883" s="1">
        <v>45392</v>
      </c>
      <c r="C883" t="s">
        <v>3</v>
      </c>
      <c r="D883" t="s">
        <v>28</v>
      </c>
      <c r="E883" t="s">
        <v>18</v>
      </c>
      <c r="F883" t="s">
        <v>26</v>
      </c>
      <c r="G883" t="s">
        <v>26</v>
      </c>
      <c r="H883" t="s">
        <v>7</v>
      </c>
      <c r="I883" t="s">
        <v>15</v>
      </c>
      <c r="J883">
        <v>5</v>
      </c>
      <c r="K883">
        <v>670</v>
      </c>
      <c r="L883">
        <v>3350</v>
      </c>
      <c r="M883">
        <v>1947.23</v>
      </c>
      <c r="N883">
        <v>1402.77</v>
      </c>
      <c r="O883" t="str">
        <f>TEXT(Table1[[#This Row],[Order_Date]],"yyy")</f>
        <v>2024</v>
      </c>
    </row>
    <row r="884" spans="1:15" x14ac:dyDescent="0.3">
      <c r="A884" t="s">
        <v>934</v>
      </c>
      <c r="B884" s="1">
        <v>45411</v>
      </c>
      <c r="C884" t="s">
        <v>10</v>
      </c>
      <c r="D884" t="s">
        <v>25</v>
      </c>
      <c r="E884" t="s">
        <v>11</v>
      </c>
      <c r="F884" t="s">
        <v>19</v>
      </c>
      <c r="G884" t="s">
        <v>19</v>
      </c>
      <c r="H884" t="s">
        <v>33</v>
      </c>
      <c r="I884" t="s">
        <v>15</v>
      </c>
      <c r="J884">
        <v>9</v>
      </c>
      <c r="K884">
        <v>4050</v>
      </c>
      <c r="L884">
        <v>36450</v>
      </c>
      <c r="M884">
        <v>24908.06</v>
      </c>
      <c r="N884">
        <v>11541.94</v>
      </c>
      <c r="O884" t="str">
        <f>TEXT(Table1[[#This Row],[Order_Date]],"yyy")</f>
        <v>2024</v>
      </c>
    </row>
    <row r="885" spans="1:15" x14ac:dyDescent="0.3">
      <c r="A885" t="s">
        <v>935</v>
      </c>
      <c r="B885" s="1">
        <v>45547</v>
      </c>
      <c r="C885" t="s">
        <v>10</v>
      </c>
      <c r="D885" t="s">
        <v>31</v>
      </c>
      <c r="E885" t="s">
        <v>4</v>
      </c>
      <c r="F885" t="s">
        <v>36</v>
      </c>
      <c r="G885" t="s">
        <v>36</v>
      </c>
      <c r="H885" t="s">
        <v>30</v>
      </c>
      <c r="I885" t="s">
        <v>15</v>
      </c>
      <c r="J885">
        <v>14</v>
      </c>
      <c r="K885">
        <v>388</v>
      </c>
      <c r="L885">
        <v>5432</v>
      </c>
      <c r="M885">
        <v>4100.1099999999997</v>
      </c>
      <c r="N885">
        <v>1331.89</v>
      </c>
      <c r="O885" t="str">
        <f>TEXT(Table1[[#This Row],[Order_Date]],"yyy")</f>
        <v>2024</v>
      </c>
    </row>
    <row r="886" spans="1:15" x14ac:dyDescent="0.3">
      <c r="A886" t="s">
        <v>936</v>
      </c>
      <c r="B886" s="1">
        <v>45417</v>
      </c>
      <c r="C886" t="s">
        <v>3</v>
      </c>
      <c r="D886" t="s">
        <v>16</v>
      </c>
      <c r="E886" t="s">
        <v>11</v>
      </c>
      <c r="F886" t="s">
        <v>19</v>
      </c>
      <c r="G886" t="s">
        <v>19</v>
      </c>
      <c r="H886" t="s">
        <v>14</v>
      </c>
      <c r="I886" t="s">
        <v>15</v>
      </c>
      <c r="J886">
        <v>18</v>
      </c>
      <c r="K886">
        <v>1398</v>
      </c>
      <c r="L886">
        <v>25164</v>
      </c>
      <c r="M886">
        <v>17289.77</v>
      </c>
      <c r="N886">
        <v>7874.23</v>
      </c>
      <c r="O886" t="str">
        <f>TEXT(Table1[[#This Row],[Order_Date]],"yyy")</f>
        <v>2024</v>
      </c>
    </row>
    <row r="887" spans="1:15" x14ac:dyDescent="0.3">
      <c r="A887" t="s">
        <v>937</v>
      </c>
      <c r="B887" s="1">
        <v>45508</v>
      </c>
      <c r="C887" t="s">
        <v>22</v>
      </c>
      <c r="D887" t="s">
        <v>9</v>
      </c>
      <c r="E887" t="s">
        <v>18</v>
      </c>
      <c r="F887" t="s">
        <v>26</v>
      </c>
      <c r="G887" t="s">
        <v>26</v>
      </c>
      <c r="H887" t="s">
        <v>33</v>
      </c>
      <c r="I887" t="s">
        <v>8</v>
      </c>
      <c r="J887">
        <v>3</v>
      </c>
      <c r="K887">
        <v>4002</v>
      </c>
      <c r="L887">
        <v>12006</v>
      </c>
      <c r="M887">
        <v>9815.94</v>
      </c>
      <c r="N887">
        <v>2190.06</v>
      </c>
      <c r="O887" t="str">
        <f>TEXT(Table1[[#This Row],[Order_Date]],"yyy")</f>
        <v>2024</v>
      </c>
    </row>
    <row r="888" spans="1:15" x14ac:dyDescent="0.3">
      <c r="A888" t="s">
        <v>938</v>
      </c>
      <c r="B888" s="1">
        <v>45470</v>
      </c>
      <c r="C888" t="s">
        <v>3</v>
      </c>
      <c r="D888" t="s">
        <v>28</v>
      </c>
      <c r="E888" t="s">
        <v>11</v>
      </c>
      <c r="F888" t="s">
        <v>19</v>
      </c>
      <c r="G888" t="s">
        <v>19</v>
      </c>
      <c r="H888" t="s">
        <v>7</v>
      </c>
      <c r="I888" t="s">
        <v>15</v>
      </c>
      <c r="J888">
        <v>11</v>
      </c>
      <c r="K888">
        <v>1256</v>
      </c>
      <c r="L888">
        <v>13816</v>
      </c>
      <c r="M888">
        <v>7843.69</v>
      </c>
      <c r="N888">
        <v>5972.31</v>
      </c>
      <c r="O888" t="str">
        <f>TEXT(Table1[[#This Row],[Order_Date]],"yyy")</f>
        <v>2024</v>
      </c>
    </row>
    <row r="889" spans="1:15" x14ac:dyDescent="0.3">
      <c r="A889" t="s">
        <v>939</v>
      </c>
      <c r="B889" s="1">
        <v>46007</v>
      </c>
      <c r="C889" t="s">
        <v>3</v>
      </c>
      <c r="D889" t="s">
        <v>28</v>
      </c>
      <c r="E889" t="s">
        <v>18</v>
      </c>
      <c r="F889" t="s">
        <v>29</v>
      </c>
      <c r="G889" t="s">
        <v>29</v>
      </c>
      <c r="H889" t="s">
        <v>35</v>
      </c>
      <c r="I889" t="s">
        <v>8</v>
      </c>
      <c r="J889">
        <v>13</v>
      </c>
      <c r="K889">
        <v>417</v>
      </c>
      <c r="L889">
        <v>5421</v>
      </c>
      <c r="M889">
        <v>3711.62</v>
      </c>
      <c r="N889">
        <v>1709.38</v>
      </c>
      <c r="O889" t="str">
        <f>TEXT(Table1[[#This Row],[Order_Date]],"yyy")</f>
        <v>2025</v>
      </c>
    </row>
    <row r="890" spans="1:15" x14ac:dyDescent="0.3">
      <c r="A890" t="s">
        <v>940</v>
      </c>
      <c r="B890" s="1">
        <v>45920</v>
      </c>
      <c r="C890" t="s">
        <v>10</v>
      </c>
      <c r="D890" t="s">
        <v>28</v>
      </c>
      <c r="E890" t="s">
        <v>11</v>
      </c>
      <c r="F890" t="s">
        <v>6</v>
      </c>
      <c r="G890" t="s">
        <v>6</v>
      </c>
      <c r="H890" t="s">
        <v>35</v>
      </c>
      <c r="I890" t="s">
        <v>15</v>
      </c>
      <c r="J890">
        <v>6</v>
      </c>
      <c r="K890">
        <v>4185</v>
      </c>
      <c r="L890">
        <v>25110</v>
      </c>
      <c r="M890">
        <v>20201.669999999998</v>
      </c>
      <c r="N890">
        <v>4908.33</v>
      </c>
      <c r="O890" t="str">
        <f>TEXT(Table1[[#This Row],[Order_Date]],"yyy")</f>
        <v>2025</v>
      </c>
    </row>
    <row r="891" spans="1:15" x14ac:dyDescent="0.3">
      <c r="A891" t="s">
        <v>941</v>
      </c>
      <c r="B891" s="1">
        <v>45364</v>
      </c>
      <c r="C891" t="s">
        <v>10</v>
      </c>
      <c r="D891" t="s">
        <v>16</v>
      </c>
      <c r="E891" t="s">
        <v>4</v>
      </c>
      <c r="F891" t="s">
        <v>23</v>
      </c>
      <c r="G891" t="s">
        <v>23</v>
      </c>
      <c r="H891" t="s">
        <v>35</v>
      </c>
      <c r="I891" t="s">
        <v>8</v>
      </c>
      <c r="J891">
        <v>13</v>
      </c>
      <c r="K891">
        <v>1203</v>
      </c>
      <c r="L891">
        <v>15639</v>
      </c>
      <c r="M891">
        <v>12303.14</v>
      </c>
      <c r="N891">
        <v>3335.86</v>
      </c>
      <c r="O891" t="str">
        <f>TEXT(Table1[[#This Row],[Order_Date]],"yyy")</f>
        <v>2024</v>
      </c>
    </row>
    <row r="892" spans="1:15" x14ac:dyDescent="0.3">
      <c r="A892" t="s">
        <v>942</v>
      </c>
      <c r="B892" s="1">
        <v>45791</v>
      </c>
      <c r="C892" t="s">
        <v>22</v>
      </c>
      <c r="D892" t="s">
        <v>31</v>
      </c>
      <c r="E892" t="s">
        <v>18</v>
      </c>
      <c r="F892" t="s">
        <v>26</v>
      </c>
      <c r="G892" t="s">
        <v>26</v>
      </c>
      <c r="H892" t="s">
        <v>30</v>
      </c>
      <c r="I892" t="s">
        <v>15</v>
      </c>
      <c r="J892">
        <v>17</v>
      </c>
      <c r="K892">
        <v>2089</v>
      </c>
      <c r="L892">
        <v>35513</v>
      </c>
      <c r="M892">
        <v>25140.74</v>
      </c>
      <c r="N892">
        <v>10372.26</v>
      </c>
      <c r="O892" t="str">
        <f>TEXT(Table1[[#This Row],[Order_Date]],"yyy")</f>
        <v>2025</v>
      </c>
    </row>
    <row r="893" spans="1:15" x14ac:dyDescent="0.3">
      <c r="A893" t="s">
        <v>943</v>
      </c>
      <c r="B893" s="1">
        <v>45689</v>
      </c>
      <c r="C893" t="s">
        <v>17</v>
      </c>
      <c r="D893" t="s">
        <v>25</v>
      </c>
      <c r="E893" t="s">
        <v>18</v>
      </c>
      <c r="F893" t="s">
        <v>34</v>
      </c>
      <c r="G893" t="s">
        <v>34</v>
      </c>
      <c r="H893" t="s">
        <v>20</v>
      </c>
      <c r="I893" t="s">
        <v>15</v>
      </c>
      <c r="J893">
        <v>4</v>
      </c>
      <c r="K893">
        <v>4614</v>
      </c>
      <c r="L893">
        <v>18456</v>
      </c>
      <c r="M893">
        <v>12486.72</v>
      </c>
      <c r="N893">
        <v>5969.28</v>
      </c>
      <c r="O893" t="str">
        <f>TEXT(Table1[[#This Row],[Order_Date]],"yyy")</f>
        <v>2025</v>
      </c>
    </row>
    <row r="894" spans="1:15" x14ac:dyDescent="0.3">
      <c r="A894" t="s">
        <v>944</v>
      </c>
      <c r="B894" s="1">
        <v>45609</v>
      </c>
      <c r="C894" t="s">
        <v>3</v>
      </c>
      <c r="D894" t="s">
        <v>31</v>
      </c>
      <c r="E894" t="s">
        <v>11</v>
      </c>
      <c r="F894" t="s">
        <v>13</v>
      </c>
      <c r="G894" t="s">
        <v>13</v>
      </c>
      <c r="H894" t="s">
        <v>24</v>
      </c>
      <c r="I894" t="s">
        <v>8</v>
      </c>
      <c r="J894">
        <v>7</v>
      </c>
      <c r="K894">
        <v>726</v>
      </c>
      <c r="L894">
        <v>5082</v>
      </c>
      <c r="M894">
        <v>3764.79</v>
      </c>
      <c r="N894">
        <v>1317.21</v>
      </c>
      <c r="O894" t="str">
        <f>TEXT(Table1[[#This Row],[Order_Date]],"yyy")</f>
        <v>2024</v>
      </c>
    </row>
    <row r="895" spans="1:15" x14ac:dyDescent="0.3">
      <c r="A895" t="s">
        <v>945</v>
      </c>
      <c r="B895" s="1">
        <v>45835</v>
      </c>
      <c r="C895" t="s">
        <v>3</v>
      </c>
      <c r="D895" t="s">
        <v>31</v>
      </c>
      <c r="E895" t="s">
        <v>4</v>
      </c>
      <c r="F895" t="s">
        <v>32</v>
      </c>
      <c r="G895" t="s">
        <v>32</v>
      </c>
      <c r="H895" t="s">
        <v>7</v>
      </c>
      <c r="I895" t="s">
        <v>15</v>
      </c>
      <c r="J895">
        <v>1</v>
      </c>
      <c r="K895">
        <v>3317</v>
      </c>
      <c r="L895">
        <v>3317</v>
      </c>
      <c r="M895">
        <v>2025.62</v>
      </c>
      <c r="N895">
        <v>1291.3800000000001</v>
      </c>
      <c r="O895" t="str">
        <f>TEXT(Table1[[#This Row],[Order_Date]],"yyy")</f>
        <v>2025</v>
      </c>
    </row>
    <row r="896" spans="1:15" x14ac:dyDescent="0.3">
      <c r="A896" t="s">
        <v>946</v>
      </c>
      <c r="B896" s="1">
        <v>45986</v>
      </c>
      <c r="C896" t="s">
        <v>22</v>
      </c>
      <c r="D896" t="s">
        <v>9</v>
      </c>
      <c r="E896" t="s">
        <v>4</v>
      </c>
      <c r="F896" t="s">
        <v>36</v>
      </c>
      <c r="G896" t="s">
        <v>36</v>
      </c>
      <c r="H896" t="s">
        <v>27</v>
      </c>
      <c r="I896" t="s">
        <v>8</v>
      </c>
      <c r="J896">
        <v>20</v>
      </c>
      <c r="K896">
        <v>3713</v>
      </c>
      <c r="L896">
        <v>74260</v>
      </c>
      <c r="M896">
        <v>60422.11</v>
      </c>
      <c r="N896">
        <v>13837.89</v>
      </c>
      <c r="O896" t="str">
        <f>TEXT(Table1[[#This Row],[Order_Date]],"yyy")</f>
        <v>2025</v>
      </c>
    </row>
    <row r="897" spans="1:15" x14ac:dyDescent="0.3">
      <c r="A897" t="s">
        <v>947</v>
      </c>
      <c r="B897" s="1">
        <v>45746</v>
      </c>
      <c r="C897" t="s">
        <v>10</v>
      </c>
      <c r="D897" t="s">
        <v>31</v>
      </c>
      <c r="E897" t="s">
        <v>18</v>
      </c>
      <c r="F897" t="s">
        <v>34</v>
      </c>
      <c r="G897" t="s">
        <v>34</v>
      </c>
      <c r="H897" t="s">
        <v>14</v>
      </c>
      <c r="I897" t="s">
        <v>15</v>
      </c>
      <c r="J897">
        <v>10</v>
      </c>
      <c r="K897">
        <v>3320</v>
      </c>
      <c r="L897">
        <v>33200</v>
      </c>
      <c r="M897">
        <v>21977.39</v>
      </c>
      <c r="N897">
        <v>11222.61</v>
      </c>
      <c r="O897" t="str">
        <f>TEXT(Table1[[#This Row],[Order_Date]],"yyy")</f>
        <v>2025</v>
      </c>
    </row>
    <row r="898" spans="1:15" x14ac:dyDescent="0.3">
      <c r="A898" t="s">
        <v>948</v>
      </c>
      <c r="B898" s="1">
        <v>45835</v>
      </c>
      <c r="C898" t="s">
        <v>10</v>
      </c>
      <c r="D898" t="s">
        <v>16</v>
      </c>
      <c r="E898" t="s">
        <v>4</v>
      </c>
      <c r="F898" t="s">
        <v>23</v>
      </c>
      <c r="G898" t="s">
        <v>23</v>
      </c>
      <c r="H898" t="s">
        <v>33</v>
      </c>
      <c r="I898" t="s">
        <v>15</v>
      </c>
      <c r="J898">
        <v>20</v>
      </c>
      <c r="K898">
        <v>4380</v>
      </c>
      <c r="L898">
        <v>87600</v>
      </c>
      <c r="M898">
        <v>72108.27</v>
      </c>
      <c r="N898">
        <v>15491.73</v>
      </c>
      <c r="O898" t="str">
        <f>TEXT(Table1[[#This Row],[Order_Date]],"yyy")</f>
        <v>2025</v>
      </c>
    </row>
    <row r="899" spans="1:15" x14ac:dyDescent="0.3">
      <c r="A899" t="s">
        <v>949</v>
      </c>
      <c r="B899" s="1">
        <v>45931</v>
      </c>
      <c r="C899" t="s">
        <v>17</v>
      </c>
      <c r="D899" t="s">
        <v>9</v>
      </c>
      <c r="E899" t="s">
        <v>4</v>
      </c>
      <c r="F899" t="s">
        <v>36</v>
      </c>
      <c r="G899" t="s">
        <v>36</v>
      </c>
      <c r="H899" t="s">
        <v>24</v>
      </c>
      <c r="I899" t="s">
        <v>8</v>
      </c>
      <c r="J899">
        <v>10</v>
      </c>
      <c r="K899">
        <v>271</v>
      </c>
      <c r="L899">
        <v>2710</v>
      </c>
      <c r="M899">
        <v>1865.28</v>
      </c>
      <c r="N899">
        <v>844.72</v>
      </c>
      <c r="O899" t="str">
        <f>TEXT(Table1[[#This Row],[Order_Date]],"yyy")</f>
        <v>2025</v>
      </c>
    </row>
    <row r="900" spans="1:15" x14ac:dyDescent="0.3">
      <c r="A900" t="s">
        <v>950</v>
      </c>
      <c r="B900" s="1">
        <v>45740</v>
      </c>
      <c r="C900" t="s">
        <v>3</v>
      </c>
      <c r="D900" t="s">
        <v>16</v>
      </c>
      <c r="E900" t="s">
        <v>11</v>
      </c>
      <c r="F900" t="s">
        <v>6</v>
      </c>
      <c r="G900" t="s">
        <v>6</v>
      </c>
      <c r="H900" t="s">
        <v>24</v>
      </c>
      <c r="I900" t="s">
        <v>15</v>
      </c>
      <c r="J900">
        <v>10</v>
      </c>
      <c r="K900">
        <v>273</v>
      </c>
      <c r="L900">
        <v>2730</v>
      </c>
      <c r="M900">
        <v>1741.57</v>
      </c>
      <c r="N900">
        <v>988.43</v>
      </c>
      <c r="O900" t="str">
        <f>TEXT(Table1[[#This Row],[Order_Date]],"yyy")</f>
        <v>2025</v>
      </c>
    </row>
    <row r="901" spans="1:15" x14ac:dyDescent="0.3">
      <c r="A901" t="s">
        <v>951</v>
      </c>
      <c r="B901" s="1">
        <v>45967</v>
      </c>
      <c r="C901" t="s">
        <v>22</v>
      </c>
      <c r="D901" t="s">
        <v>9</v>
      </c>
      <c r="E901" t="s">
        <v>11</v>
      </c>
      <c r="F901" t="s">
        <v>19</v>
      </c>
      <c r="G901" t="s">
        <v>19</v>
      </c>
      <c r="H901" t="s">
        <v>30</v>
      </c>
      <c r="I901" t="s">
        <v>8</v>
      </c>
      <c r="J901">
        <v>11</v>
      </c>
      <c r="K901">
        <v>2828</v>
      </c>
      <c r="L901">
        <v>31108</v>
      </c>
      <c r="M901">
        <v>21334.01</v>
      </c>
      <c r="N901">
        <v>9773.99</v>
      </c>
      <c r="O901" t="str">
        <f>TEXT(Table1[[#This Row],[Order_Date]],"yyy")</f>
        <v>2025</v>
      </c>
    </row>
    <row r="902" spans="1:15" x14ac:dyDescent="0.3">
      <c r="A902" t="s">
        <v>952</v>
      </c>
      <c r="B902" s="1">
        <v>45804</v>
      </c>
      <c r="C902" t="s">
        <v>3</v>
      </c>
      <c r="D902" t="s">
        <v>9</v>
      </c>
      <c r="E902" t="s">
        <v>18</v>
      </c>
      <c r="F902" t="s">
        <v>26</v>
      </c>
      <c r="G902" t="s">
        <v>26</v>
      </c>
      <c r="H902" t="s">
        <v>33</v>
      </c>
      <c r="I902" t="s">
        <v>15</v>
      </c>
      <c r="J902">
        <v>11</v>
      </c>
      <c r="K902">
        <v>2389</v>
      </c>
      <c r="L902">
        <v>26279</v>
      </c>
      <c r="M902">
        <v>20550.09</v>
      </c>
      <c r="N902">
        <v>5728.91</v>
      </c>
      <c r="O902" t="str">
        <f>TEXT(Table1[[#This Row],[Order_Date]],"yyy")</f>
        <v>2025</v>
      </c>
    </row>
    <row r="903" spans="1:15" x14ac:dyDescent="0.3">
      <c r="A903" t="s">
        <v>953</v>
      </c>
      <c r="B903" s="1">
        <v>45905</v>
      </c>
      <c r="C903" t="s">
        <v>10</v>
      </c>
      <c r="D903" t="s">
        <v>16</v>
      </c>
      <c r="E903" t="s">
        <v>18</v>
      </c>
      <c r="F903" t="s">
        <v>34</v>
      </c>
      <c r="G903" t="s">
        <v>34</v>
      </c>
      <c r="H903" t="s">
        <v>7</v>
      </c>
      <c r="I903" t="s">
        <v>15</v>
      </c>
      <c r="J903">
        <v>13</v>
      </c>
      <c r="K903">
        <v>3502</v>
      </c>
      <c r="L903">
        <v>45526</v>
      </c>
      <c r="M903">
        <v>28883.14</v>
      </c>
      <c r="N903">
        <v>16642.86</v>
      </c>
      <c r="O903" t="str">
        <f>TEXT(Table1[[#This Row],[Order_Date]],"yyy")</f>
        <v>2025</v>
      </c>
    </row>
    <row r="904" spans="1:15" x14ac:dyDescent="0.3">
      <c r="A904" t="s">
        <v>954</v>
      </c>
      <c r="B904" s="1">
        <v>45853</v>
      </c>
      <c r="C904" t="s">
        <v>10</v>
      </c>
      <c r="D904" t="s">
        <v>25</v>
      </c>
      <c r="E904" t="s">
        <v>4</v>
      </c>
      <c r="F904" t="s">
        <v>32</v>
      </c>
      <c r="G904" t="s">
        <v>32</v>
      </c>
      <c r="H904" t="s">
        <v>7</v>
      </c>
      <c r="I904" t="s">
        <v>15</v>
      </c>
      <c r="J904">
        <v>10</v>
      </c>
      <c r="K904">
        <v>365</v>
      </c>
      <c r="L904">
        <v>3650</v>
      </c>
      <c r="M904">
        <v>2601.62</v>
      </c>
      <c r="N904">
        <v>1048.3800000000001</v>
      </c>
      <c r="O904" t="str">
        <f>TEXT(Table1[[#This Row],[Order_Date]],"yyy")</f>
        <v>2025</v>
      </c>
    </row>
    <row r="905" spans="1:15" x14ac:dyDescent="0.3">
      <c r="A905" t="s">
        <v>955</v>
      </c>
      <c r="B905" s="1">
        <v>45560</v>
      </c>
      <c r="C905" t="s">
        <v>10</v>
      </c>
      <c r="D905" t="s">
        <v>21</v>
      </c>
      <c r="E905" t="s">
        <v>4</v>
      </c>
      <c r="F905" t="s">
        <v>36</v>
      </c>
      <c r="G905" t="s">
        <v>36</v>
      </c>
      <c r="H905" t="s">
        <v>7</v>
      </c>
      <c r="I905" t="s">
        <v>15</v>
      </c>
      <c r="J905">
        <v>12</v>
      </c>
      <c r="K905">
        <v>4989</v>
      </c>
      <c r="L905">
        <v>59868</v>
      </c>
      <c r="M905">
        <v>41617.01</v>
      </c>
      <c r="N905">
        <v>18250.990000000002</v>
      </c>
      <c r="O905" t="str">
        <f>TEXT(Table1[[#This Row],[Order_Date]],"yyy")</f>
        <v>2024</v>
      </c>
    </row>
    <row r="906" spans="1:15" x14ac:dyDescent="0.3">
      <c r="A906" t="s">
        <v>956</v>
      </c>
      <c r="B906" s="1">
        <v>45534</v>
      </c>
      <c r="C906" t="s">
        <v>3</v>
      </c>
      <c r="D906" t="s">
        <v>25</v>
      </c>
      <c r="E906" t="s">
        <v>4</v>
      </c>
      <c r="F906" t="s">
        <v>36</v>
      </c>
      <c r="G906" t="s">
        <v>36</v>
      </c>
      <c r="H906" t="s">
        <v>14</v>
      </c>
      <c r="I906" t="s">
        <v>8</v>
      </c>
      <c r="J906">
        <v>3</v>
      </c>
      <c r="K906">
        <v>343</v>
      </c>
      <c r="L906">
        <v>1029</v>
      </c>
      <c r="M906">
        <v>743.03</v>
      </c>
      <c r="N906">
        <v>285.97000000000003</v>
      </c>
      <c r="O906" t="str">
        <f>TEXT(Table1[[#This Row],[Order_Date]],"yyy")</f>
        <v>2024</v>
      </c>
    </row>
    <row r="907" spans="1:15" x14ac:dyDescent="0.3">
      <c r="A907" t="s">
        <v>957</v>
      </c>
      <c r="B907" s="1">
        <v>45862</v>
      </c>
      <c r="C907" t="s">
        <v>17</v>
      </c>
      <c r="D907" t="s">
        <v>28</v>
      </c>
      <c r="E907" t="s">
        <v>4</v>
      </c>
      <c r="F907" t="s">
        <v>23</v>
      </c>
      <c r="G907" t="s">
        <v>23</v>
      </c>
      <c r="H907" t="s">
        <v>14</v>
      </c>
      <c r="I907" t="s">
        <v>8</v>
      </c>
      <c r="J907">
        <v>19</v>
      </c>
      <c r="K907">
        <v>1008</v>
      </c>
      <c r="L907">
        <v>19152</v>
      </c>
      <c r="M907">
        <v>12505.3</v>
      </c>
      <c r="N907">
        <v>6646.7</v>
      </c>
      <c r="O907" t="str">
        <f>TEXT(Table1[[#This Row],[Order_Date]],"yyy")</f>
        <v>2025</v>
      </c>
    </row>
    <row r="908" spans="1:15" x14ac:dyDescent="0.3">
      <c r="A908" t="s">
        <v>958</v>
      </c>
      <c r="B908" s="1">
        <v>45637</v>
      </c>
      <c r="C908" t="s">
        <v>10</v>
      </c>
      <c r="D908" t="s">
        <v>28</v>
      </c>
      <c r="E908" t="s">
        <v>18</v>
      </c>
      <c r="F908" t="s">
        <v>26</v>
      </c>
      <c r="G908" t="s">
        <v>26</v>
      </c>
      <c r="H908" t="s">
        <v>35</v>
      </c>
      <c r="I908" t="s">
        <v>15</v>
      </c>
      <c r="J908">
        <v>11</v>
      </c>
      <c r="K908">
        <v>4200</v>
      </c>
      <c r="L908">
        <v>46200</v>
      </c>
      <c r="M908">
        <v>33948.730000000003</v>
      </c>
      <c r="N908">
        <v>12251.27</v>
      </c>
      <c r="O908" t="str">
        <f>TEXT(Table1[[#This Row],[Order_Date]],"yyy")</f>
        <v>2024</v>
      </c>
    </row>
    <row r="909" spans="1:15" x14ac:dyDescent="0.3">
      <c r="A909" t="s">
        <v>959</v>
      </c>
      <c r="B909" s="1">
        <v>45386</v>
      </c>
      <c r="C909" t="s">
        <v>17</v>
      </c>
      <c r="D909" t="s">
        <v>16</v>
      </c>
      <c r="E909" t="s">
        <v>4</v>
      </c>
      <c r="F909" t="s">
        <v>36</v>
      </c>
      <c r="G909" t="s">
        <v>36</v>
      </c>
      <c r="H909" t="s">
        <v>30</v>
      </c>
      <c r="I909" t="s">
        <v>8</v>
      </c>
      <c r="J909">
        <v>17</v>
      </c>
      <c r="K909">
        <v>4509</v>
      </c>
      <c r="L909">
        <v>76653</v>
      </c>
      <c r="M909">
        <v>48536.33</v>
      </c>
      <c r="N909">
        <v>28116.67</v>
      </c>
      <c r="O909" t="str">
        <f>TEXT(Table1[[#This Row],[Order_Date]],"yyy")</f>
        <v>2024</v>
      </c>
    </row>
    <row r="910" spans="1:15" x14ac:dyDescent="0.3">
      <c r="A910" t="s">
        <v>960</v>
      </c>
      <c r="B910" s="1">
        <v>45615</v>
      </c>
      <c r="C910" t="s">
        <v>22</v>
      </c>
      <c r="D910" t="s">
        <v>9</v>
      </c>
      <c r="E910" t="s">
        <v>4</v>
      </c>
      <c r="F910" t="s">
        <v>36</v>
      </c>
      <c r="G910" t="s">
        <v>36</v>
      </c>
      <c r="H910" t="s">
        <v>33</v>
      </c>
      <c r="I910" t="s">
        <v>8</v>
      </c>
      <c r="J910">
        <v>3</v>
      </c>
      <c r="K910">
        <v>2794</v>
      </c>
      <c r="L910">
        <v>8382</v>
      </c>
      <c r="M910">
        <v>6246.32</v>
      </c>
      <c r="N910">
        <v>2135.6799999999998</v>
      </c>
      <c r="O910" t="str">
        <f>TEXT(Table1[[#This Row],[Order_Date]],"yyy")</f>
        <v>2024</v>
      </c>
    </row>
    <row r="911" spans="1:15" x14ac:dyDescent="0.3">
      <c r="A911" t="s">
        <v>961</v>
      </c>
      <c r="B911" s="1">
        <v>45868</v>
      </c>
      <c r="C911" t="s">
        <v>22</v>
      </c>
      <c r="D911" t="s">
        <v>28</v>
      </c>
      <c r="E911" t="s">
        <v>4</v>
      </c>
      <c r="F911" t="s">
        <v>36</v>
      </c>
      <c r="G911" t="s">
        <v>36</v>
      </c>
      <c r="H911" t="s">
        <v>27</v>
      </c>
      <c r="I911" t="s">
        <v>15</v>
      </c>
      <c r="J911">
        <v>4</v>
      </c>
      <c r="K911">
        <v>341</v>
      </c>
      <c r="L911">
        <v>1364</v>
      </c>
      <c r="M911">
        <v>766</v>
      </c>
      <c r="N911">
        <v>598</v>
      </c>
      <c r="O911" t="str">
        <f>TEXT(Table1[[#This Row],[Order_Date]],"yyy")</f>
        <v>2025</v>
      </c>
    </row>
    <row r="912" spans="1:15" x14ac:dyDescent="0.3">
      <c r="A912" t="s">
        <v>962</v>
      </c>
      <c r="B912" s="1">
        <v>45997</v>
      </c>
      <c r="C912" t="s">
        <v>10</v>
      </c>
      <c r="D912" t="s">
        <v>25</v>
      </c>
      <c r="E912" t="s">
        <v>18</v>
      </c>
      <c r="F912" t="s">
        <v>26</v>
      </c>
      <c r="G912" t="s">
        <v>26</v>
      </c>
      <c r="H912" t="s">
        <v>20</v>
      </c>
      <c r="I912" t="s">
        <v>15</v>
      </c>
      <c r="J912">
        <v>16</v>
      </c>
      <c r="K912">
        <v>1612</v>
      </c>
      <c r="L912">
        <v>25792</v>
      </c>
      <c r="M912">
        <v>14936.3</v>
      </c>
      <c r="N912">
        <v>10855.7</v>
      </c>
      <c r="O912" t="str">
        <f>TEXT(Table1[[#This Row],[Order_Date]],"yyy")</f>
        <v>2025</v>
      </c>
    </row>
    <row r="913" spans="1:15" x14ac:dyDescent="0.3">
      <c r="A913" t="s">
        <v>963</v>
      </c>
      <c r="B913" s="1">
        <v>45503</v>
      </c>
      <c r="C913" t="s">
        <v>10</v>
      </c>
      <c r="D913" t="s">
        <v>31</v>
      </c>
      <c r="E913" t="s">
        <v>18</v>
      </c>
      <c r="F913" t="s">
        <v>29</v>
      </c>
      <c r="G913" t="s">
        <v>29</v>
      </c>
      <c r="H913" t="s">
        <v>7</v>
      </c>
      <c r="I913" t="s">
        <v>8</v>
      </c>
      <c r="J913">
        <v>14</v>
      </c>
      <c r="K913">
        <v>4142</v>
      </c>
      <c r="L913">
        <v>57988</v>
      </c>
      <c r="M913">
        <v>42799.32</v>
      </c>
      <c r="N913">
        <v>15188.68</v>
      </c>
      <c r="O913" t="str">
        <f>TEXT(Table1[[#This Row],[Order_Date]],"yyy")</f>
        <v>2024</v>
      </c>
    </row>
    <row r="914" spans="1:15" x14ac:dyDescent="0.3">
      <c r="A914" t="s">
        <v>964</v>
      </c>
      <c r="B914" s="1">
        <v>46009</v>
      </c>
      <c r="C914" t="s">
        <v>22</v>
      </c>
      <c r="D914" t="s">
        <v>28</v>
      </c>
      <c r="E914" t="s">
        <v>11</v>
      </c>
      <c r="F914" t="s">
        <v>6</v>
      </c>
      <c r="G914" t="s">
        <v>6</v>
      </c>
      <c r="H914" t="s">
        <v>35</v>
      </c>
      <c r="I914" t="s">
        <v>8</v>
      </c>
      <c r="J914">
        <v>20</v>
      </c>
      <c r="K914">
        <v>4550</v>
      </c>
      <c r="L914">
        <v>91000</v>
      </c>
      <c r="M914">
        <v>51122.89</v>
      </c>
      <c r="N914">
        <v>39877.11</v>
      </c>
      <c r="O914" t="str">
        <f>TEXT(Table1[[#This Row],[Order_Date]],"yyy")</f>
        <v>2025</v>
      </c>
    </row>
    <row r="915" spans="1:15" x14ac:dyDescent="0.3">
      <c r="A915" t="s">
        <v>965</v>
      </c>
      <c r="B915" s="1">
        <v>45754</v>
      </c>
      <c r="C915" t="s">
        <v>17</v>
      </c>
      <c r="D915" t="s">
        <v>21</v>
      </c>
      <c r="E915" t="s">
        <v>11</v>
      </c>
      <c r="F915" t="s">
        <v>13</v>
      </c>
      <c r="G915" t="s">
        <v>13</v>
      </c>
      <c r="H915" t="s">
        <v>33</v>
      </c>
      <c r="I915" t="s">
        <v>15</v>
      </c>
      <c r="J915">
        <v>15</v>
      </c>
      <c r="K915">
        <v>4677</v>
      </c>
      <c r="L915">
        <v>70155</v>
      </c>
      <c r="M915">
        <v>53170.19</v>
      </c>
      <c r="N915">
        <v>16984.810000000001</v>
      </c>
      <c r="O915" t="str">
        <f>TEXT(Table1[[#This Row],[Order_Date]],"yyy")</f>
        <v>2025</v>
      </c>
    </row>
    <row r="916" spans="1:15" x14ac:dyDescent="0.3">
      <c r="A916" t="s">
        <v>966</v>
      </c>
      <c r="B916" s="1">
        <v>45356</v>
      </c>
      <c r="C916" t="s">
        <v>10</v>
      </c>
      <c r="D916" t="s">
        <v>16</v>
      </c>
      <c r="E916" t="s">
        <v>11</v>
      </c>
      <c r="F916" t="s">
        <v>13</v>
      </c>
      <c r="G916" t="s">
        <v>13</v>
      </c>
      <c r="H916" t="s">
        <v>20</v>
      </c>
      <c r="I916" t="s">
        <v>15</v>
      </c>
      <c r="J916">
        <v>3</v>
      </c>
      <c r="K916">
        <v>3245</v>
      </c>
      <c r="L916">
        <v>9735</v>
      </c>
      <c r="M916">
        <v>7911.1</v>
      </c>
      <c r="N916">
        <v>1823.9</v>
      </c>
      <c r="O916" t="str">
        <f>TEXT(Table1[[#This Row],[Order_Date]],"yyy")</f>
        <v>2024</v>
      </c>
    </row>
    <row r="917" spans="1:15" x14ac:dyDescent="0.3">
      <c r="A917" t="s">
        <v>967</v>
      </c>
      <c r="B917" s="1">
        <v>45479</v>
      </c>
      <c r="C917" t="s">
        <v>17</v>
      </c>
      <c r="D917" t="s">
        <v>28</v>
      </c>
      <c r="E917" t="s">
        <v>4</v>
      </c>
      <c r="F917" t="s">
        <v>32</v>
      </c>
      <c r="G917" t="s">
        <v>32</v>
      </c>
      <c r="H917" t="s">
        <v>35</v>
      </c>
      <c r="I917" t="s">
        <v>15</v>
      </c>
      <c r="J917">
        <v>11</v>
      </c>
      <c r="K917">
        <v>125</v>
      </c>
      <c r="L917">
        <v>1375</v>
      </c>
      <c r="M917">
        <v>952.05</v>
      </c>
      <c r="N917">
        <v>422.95</v>
      </c>
      <c r="O917" t="str">
        <f>TEXT(Table1[[#This Row],[Order_Date]],"yyy")</f>
        <v>2024</v>
      </c>
    </row>
    <row r="918" spans="1:15" x14ac:dyDescent="0.3">
      <c r="A918" t="s">
        <v>968</v>
      </c>
      <c r="B918" s="1">
        <v>45624</v>
      </c>
      <c r="C918" t="s">
        <v>22</v>
      </c>
      <c r="D918" t="s">
        <v>31</v>
      </c>
      <c r="E918" t="s">
        <v>11</v>
      </c>
      <c r="F918" t="s">
        <v>13</v>
      </c>
      <c r="G918" t="s">
        <v>13</v>
      </c>
      <c r="H918" t="s">
        <v>30</v>
      </c>
      <c r="I918" t="s">
        <v>15</v>
      </c>
      <c r="J918">
        <v>20</v>
      </c>
      <c r="K918">
        <v>2917</v>
      </c>
      <c r="L918">
        <v>58340</v>
      </c>
      <c r="M918">
        <v>39753.279999999999</v>
      </c>
      <c r="N918">
        <v>18586.72</v>
      </c>
      <c r="O918" t="str">
        <f>TEXT(Table1[[#This Row],[Order_Date]],"yyy")</f>
        <v>2024</v>
      </c>
    </row>
    <row r="919" spans="1:15" x14ac:dyDescent="0.3">
      <c r="A919" t="s">
        <v>969</v>
      </c>
      <c r="B919" s="1">
        <v>45463</v>
      </c>
      <c r="C919" t="s">
        <v>3</v>
      </c>
      <c r="D919" t="s">
        <v>25</v>
      </c>
      <c r="E919" t="s">
        <v>18</v>
      </c>
      <c r="F919" t="s">
        <v>26</v>
      </c>
      <c r="G919" t="s">
        <v>26</v>
      </c>
      <c r="H919" t="s">
        <v>27</v>
      </c>
      <c r="I919" t="s">
        <v>8</v>
      </c>
      <c r="J919">
        <v>14</v>
      </c>
      <c r="K919">
        <v>1422</v>
      </c>
      <c r="L919">
        <v>19908</v>
      </c>
      <c r="M919">
        <v>16386.39</v>
      </c>
      <c r="N919">
        <v>3521.61</v>
      </c>
      <c r="O919" t="str">
        <f>TEXT(Table1[[#This Row],[Order_Date]],"yyy")</f>
        <v>2024</v>
      </c>
    </row>
    <row r="920" spans="1:15" x14ac:dyDescent="0.3">
      <c r="A920" t="s">
        <v>970</v>
      </c>
      <c r="B920" s="1">
        <v>45928</v>
      </c>
      <c r="C920" t="s">
        <v>10</v>
      </c>
      <c r="D920" t="s">
        <v>16</v>
      </c>
      <c r="E920" t="s">
        <v>11</v>
      </c>
      <c r="F920" t="s">
        <v>19</v>
      </c>
      <c r="G920" t="s">
        <v>19</v>
      </c>
      <c r="H920" t="s">
        <v>33</v>
      </c>
      <c r="I920" t="s">
        <v>15</v>
      </c>
      <c r="J920">
        <v>16</v>
      </c>
      <c r="K920">
        <v>3070</v>
      </c>
      <c r="L920">
        <v>49120</v>
      </c>
      <c r="M920">
        <v>33538.199999999997</v>
      </c>
      <c r="N920">
        <v>15581.8</v>
      </c>
      <c r="O920" t="str">
        <f>TEXT(Table1[[#This Row],[Order_Date]],"yyy")</f>
        <v>2025</v>
      </c>
    </row>
    <row r="921" spans="1:15" x14ac:dyDescent="0.3">
      <c r="A921" t="s">
        <v>971</v>
      </c>
      <c r="B921" s="1">
        <v>45893</v>
      </c>
      <c r="C921" t="s">
        <v>10</v>
      </c>
      <c r="D921" t="s">
        <v>21</v>
      </c>
      <c r="E921" t="s">
        <v>11</v>
      </c>
      <c r="F921" t="s">
        <v>19</v>
      </c>
      <c r="G921" t="s">
        <v>19</v>
      </c>
      <c r="H921" t="s">
        <v>20</v>
      </c>
      <c r="I921" t="s">
        <v>8</v>
      </c>
      <c r="J921">
        <v>13</v>
      </c>
      <c r="K921">
        <v>1996</v>
      </c>
      <c r="L921">
        <v>25948</v>
      </c>
      <c r="M921">
        <v>16432.63</v>
      </c>
      <c r="N921">
        <v>9515.3700000000008</v>
      </c>
      <c r="O921" t="str">
        <f>TEXT(Table1[[#This Row],[Order_Date]],"yyy")</f>
        <v>2025</v>
      </c>
    </row>
    <row r="922" spans="1:15" x14ac:dyDescent="0.3">
      <c r="A922" t="s">
        <v>972</v>
      </c>
      <c r="B922" s="1">
        <v>45415</v>
      </c>
      <c r="C922" t="s">
        <v>10</v>
      </c>
      <c r="D922" t="s">
        <v>25</v>
      </c>
      <c r="E922" t="s">
        <v>11</v>
      </c>
      <c r="F922" t="s">
        <v>6</v>
      </c>
      <c r="G922" t="s">
        <v>6</v>
      </c>
      <c r="H922" t="s">
        <v>35</v>
      </c>
      <c r="I922" t="s">
        <v>15</v>
      </c>
      <c r="J922">
        <v>18</v>
      </c>
      <c r="K922">
        <v>2032</v>
      </c>
      <c r="L922">
        <v>36576</v>
      </c>
      <c r="M922">
        <v>23929.85</v>
      </c>
      <c r="N922">
        <v>12646.15</v>
      </c>
      <c r="O922" t="str">
        <f>TEXT(Table1[[#This Row],[Order_Date]],"yyy")</f>
        <v>2024</v>
      </c>
    </row>
    <row r="923" spans="1:15" x14ac:dyDescent="0.3">
      <c r="A923" t="s">
        <v>973</v>
      </c>
      <c r="B923" s="1">
        <v>45972</v>
      </c>
      <c r="C923" t="s">
        <v>17</v>
      </c>
      <c r="D923" t="s">
        <v>31</v>
      </c>
      <c r="E923" t="s">
        <v>18</v>
      </c>
      <c r="F923" t="s">
        <v>29</v>
      </c>
      <c r="G923" t="s">
        <v>29</v>
      </c>
      <c r="H923" t="s">
        <v>27</v>
      </c>
      <c r="I923" t="s">
        <v>8</v>
      </c>
      <c r="J923">
        <v>15</v>
      </c>
      <c r="K923">
        <v>2344</v>
      </c>
      <c r="L923">
        <v>35160</v>
      </c>
      <c r="M923">
        <v>22905.06</v>
      </c>
      <c r="N923">
        <v>12254.94</v>
      </c>
      <c r="O923" t="str">
        <f>TEXT(Table1[[#This Row],[Order_Date]],"yyy")</f>
        <v>2025</v>
      </c>
    </row>
    <row r="924" spans="1:15" x14ac:dyDescent="0.3">
      <c r="A924" t="s">
        <v>974</v>
      </c>
      <c r="B924" s="1">
        <v>45899</v>
      </c>
      <c r="C924" t="s">
        <v>22</v>
      </c>
      <c r="D924" t="s">
        <v>16</v>
      </c>
      <c r="E924" t="s">
        <v>4</v>
      </c>
      <c r="F924" t="s">
        <v>23</v>
      </c>
      <c r="G924" t="s">
        <v>23</v>
      </c>
      <c r="H924" t="s">
        <v>14</v>
      </c>
      <c r="I924" t="s">
        <v>15</v>
      </c>
      <c r="J924">
        <v>3</v>
      </c>
      <c r="K924">
        <v>2227</v>
      </c>
      <c r="L924">
        <v>6681</v>
      </c>
      <c r="M924">
        <v>5267.34</v>
      </c>
      <c r="N924">
        <v>1413.66</v>
      </c>
      <c r="O924" t="str">
        <f>TEXT(Table1[[#This Row],[Order_Date]],"yyy")</f>
        <v>2025</v>
      </c>
    </row>
    <row r="925" spans="1:15" x14ac:dyDescent="0.3">
      <c r="A925" t="s">
        <v>975</v>
      </c>
      <c r="B925" s="1">
        <v>45308</v>
      </c>
      <c r="C925" t="s">
        <v>22</v>
      </c>
      <c r="D925" t="s">
        <v>9</v>
      </c>
      <c r="E925" t="s">
        <v>18</v>
      </c>
      <c r="F925" t="s">
        <v>26</v>
      </c>
      <c r="G925" t="s">
        <v>26</v>
      </c>
      <c r="H925" t="s">
        <v>35</v>
      </c>
      <c r="I925" t="s">
        <v>15</v>
      </c>
      <c r="J925">
        <v>20</v>
      </c>
      <c r="K925">
        <v>2275</v>
      </c>
      <c r="L925">
        <v>45500</v>
      </c>
      <c r="M925">
        <v>29232.07</v>
      </c>
      <c r="N925">
        <v>16267.93</v>
      </c>
      <c r="O925" t="str">
        <f>TEXT(Table1[[#This Row],[Order_Date]],"yyy")</f>
        <v>2024</v>
      </c>
    </row>
    <row r="926" spans="1:15" x14ac:dyDescent="0.3">
      <c r="A926" t="s">
        <v>976</v>
      </c>
      <c r="B926" s="1">
        <v>45294</v>
      </c>
      <c r="C926" t="s">
        <v>10</v>
      </c>
      <c r="D926" t="s">
        <v>25</v>
      </c>
      <c r="E926" t="s">
        <v>11</v>
      </c>
      <c r="F926" t="s">
        <v>6</v>
      </c>
      <c r="G926" t="s">
        <v>6</v>
      </c>
      <c r="H926" t="s">
        <v>7</v>
      </c>
      <c r="I926" t="s">
        <v>15</v>
      </c>
      <c r="J926">
        <v>8</v>
      </c>
      <c r="K926">
        <v>4967</v>
      </c>
      <c r="L926">
        <v>39736</v>
      </c>
      <c r="M926">
        <v>24950.14</v>
      </c>
      <c r="N926">
        <v>14785.86</v>
      </c>
      <c r="O926" t="str">
        <f>TEXT(Table1[[#This Row],[Order_Date]],"yyy")</f>
        <v>2024</v>
      </c>
    </row>
    <row r="927" spans="1:15" x14ac:dyDescent="0.3">
      <c r="A927" t="s">
        <v>977</v>
      </c>
      <c r="B927" s="1">
        <v>45565</v>
      </c>
      <c r="C927" t="s">
        <v>22</v>
      </c>
      <c r="D927" t="s">
        <v>28</v>
      </c>
      <c r="E927" t="s">
        <v>11</v>
      </c>
      <c r="F927" t="s">
        <v>13</v>
      </c>
      <c r="G927" t="s">
        <v>13</v>
      </c>
      <c r="H927" t="s">
        <v>30</v>
      </c>
      <c r="I927" t="s">
        <v>8</v>
      </c>
      <c r="J927">
        <v>6</v>
      </c>
      <c r="K927">
        <v>1936</v>
      </c>
      <c r="L927">
        <v>11616</v>
      </c>
      <c r="M927">
        <v>8702.09</v>
      </c>
      <c r="N927">
        <v>2913.91</v>
      </c>
      <c r="O927" t="str">
        <f>TEXT(Table1[[#This Row],[Order_Date]],"yyy")</f>
        <v>2024</v>
      </c>
    </row>
    <row r="928" spans="1:15" x14ac:dyDescent="0.3">
      <c r="A928" t="s">
        <v>978</v>
      </c>
      <c r="B928" s="1">
        <v>45748</v>
      </c>
      <c r="C928" t="s">
        <v>17</v>
      </c>
      <c r="D928" t="s">
        <v>28</v>
      </c>
      <c r="E928" t="s">
        <v>11</v>
      </c>
      <c r="F928" t="s">
        <v>6</v>
      </c>
      <c r="G928" t="s">
        <v>6</v>
      </c>
      <c r="H928" t="s">
        <v>33</v>
      </c>
      <c r="I928" t="s">
        <v>15</v>
      </c>
      <c r="J928">
        <v>2</v>
      </c>
      <c r="K928">
        <v>2592</v>
      </c>
      <c r="L928">
        <v>5184</v>
      </c>
      <c r="M928">
        <v>3104.69</v>
      </c>
      <c r="N928">
        <v>2079.31</v>
      </c>
      <c r="O928" t="str">
        <f>TEXT(Table1[[#This Row],[Order_Date]],"yyy")</f>
        <v>2025</v>
      </c>
    </row>
    <row r="929" spans="1:15" x14ac:dyDescent="0.3">
      <c r="A929" t="s">
        <v>979</v>
      </c>
      <c r="B929" s="1">
        <v>45434</v>
      </c>
      <c r="C929" t="s">
        <v>22</v>
      </c>
      <c r="D929" t="s">
        <v>9</v>
      </c>
      <c r="E929" t="s">
        <v>18</v>
      </c>
      <c r="F929" t="s">
        <v>29</v>
      </c>
      <c r="G929" t="s">
        <v>29</v>
      </c>
      <c r="H929" t="s">
        <v>30</v>
      </c>
      <c r="I929" t="s">
        <v>8</v>
      </c>
      <c r="J929">
        <v>15</v>
      </c>
      <c r="K929">
        <v>3606</v>
      </c>
      <c r="L929">
        <v>54090</v>
      </c>
      <c r="M929">
        <v>31382.639999999999</v>
      </c>
      <c r="N929">
        <v>22707.360000000001</v>
      </c>
      <c r="O929" t="str">
        <f>TEXT(Table1[[#This Row],[Order_Date]],"yyy")</f>
        <v>2024</v>
      </c>
    </row>
    <row r="930" spans="1:15" x14ac:dyDescent="0.3">
      <c r="A930" t="s">
        <v>980</v>
      </c>
      <c r="B930" s="1">
        <v>45459</v>
      </c>
      <c r="C930" t="s">
        <v>3</v>
      </c>
      <c r="D930" t="s">
        <v>25</v>
      </c>
      <c r="E930" t="s">
        <v>4</v>
      </c>
      <c r="F930" t="s">
        <v>23</v>
      </c>
      <c r="G930" t="s">
        <v>23</v>
      </c>
      <c r="H930" t="s">
        <v>30</v>
      </c>
      <c r="I930" t="s">
        <v>8</v>
      </c>
      <c r="J930">
        <v>9</v>
      </c>
      <c r="K930">
        <v>3797</v>
      </c>
      <c r="L930">
        <v>34173</v>
      </c>
      <c r="M930">
        <v>20230.73</v>
      </c>
      <c r="N930">
        <v>13942.27</v>
      </c>
      <c r="O930" t="str">
        <f>TEXT(Table1[[#This Row],[Order_Date]],"yyy")</f>
        <v>2024</v>
      </c>
    </row>
    <row r="931" spans="1:15" x14ac:dyDescent="0.3">
      <c r="A931" t="s">
        <v>981</v>
      </c>
      <c r="B931" s="1">
        <v>45771</v>
      </c>
      <c r="C931" t="s">
        <v>3</v>
      </c>
      <c r="D931" t="s">
        <v>31</v>
      </c>
      <c r="E931" t="s">
        <v>4</v>
      </c>
      <c r="F931" t="s">
        <v>36</v>
      </c>
      <c r="G931" t="s">
        <v>36</v>
      </c>
      <c r="H931" t="s">
        <v>24</v>
      </c>
      <c r="I931" t="s">
        <v>15</v>
      </c>
      <c r="J931">
        <v>16</v>
      </c>
      <c r="K931">
        <v>4683</v>
      </c>
      <c r="L931">
        <v>74928</v>
      </c>
      <c r="M931">
        <v>48066.21</v>
      </c>
      <c r="N931">
        <v>26861.79</v>
      </c>
      <c r="O931" t="str">
        <f>TEXT(Table1[[#This Row],[Order_Date]],"yyy")</f>
        <v>2025</v>
      </c>
    </row>
    <row r="932" spans="1:15" x14ac:dyDescent="0.3">
      <c r="A932" t="s">
        <v>982</v>
      </c>
      <c r="B932" s="1">
        <v>45321</v>
      </c>
      <c r="C932" t="s">
        <v>22</v>
      </c>
      <c r="D932" t="s">
        <v>31</v>
      </c>
      <c r="E932" t="s">
        <v>4</v>
      </c>
      <c r="F932" t="s">
        <v>23</v>
      </c>
      <c r="G932" t="s">
        <v>23</v>
      </c>
      <c r="H932" t="s">
        <v>27</v>
      </c>
      <c r="I932" t="s">
        <v>15</v>
      </c>
      <c r="J932">
        <v>11</v>
      </c>
      <c r="K932">
        <v>3079</v>
      </c>
      <c r="L932">
        <v>33869</v>
      </c>
      <c r="M932">
        <v>21856.69</v>
      </c>
      <c r="N932">
        <v>12012.31</v>
      </c>
      <c r="O932" t="str">
        <f>TEXT(Table1[[#This Row],[Order_Date]],"yyy")</f>
        <v>2024</v>
      </c>
    </row>
    <row r="933" spans="1:15" x14ac:dyDescent="0.3">
      <c r="A933" t="s">
        <v>983</v>
      </c>
      <c r="B933" s="1">
        <v>45548</v>
      </c>
      <c r="C933" t="s">
        <v>10</v>
      </c>
      <c r="D933" t="s">
        <v>21</v>
      </c>
      <c r="E933" t="s">
        <v>11</v>
      </c>
      <c r="F933" t="s">
        <v>13</v>
      </c>
      <c r="G933" t="s">
        <v>13</v>
      </c>
      <c r="H933" t="s">
        <v>35</v>
      </c>
      <c r="I933" t="s">
        <v>8</v>
      </c>
      <c r="J933">
        <v>17</v>
      </c>
      <c r="K933">
        <v>4400</v>
      </c>
      <c r="L933">
        <v>74800</v>
      </c>
      <c r="M933">
        <v>63404.12</v>
      </c>
      <c r="N933">
        <v>11395.88</v>
      </c>
      <c r="O933" t="str">
        <f>TEXT(Table1[[#This Row],[Order_Date]],"yyy")</f>
        <v>2024</v>
      </c>
    </row>
    <row r="934" spans="1:15" x14ac:dyDescent="0.3">
      <c r="A934" t="s">
        <v>984</v>
      </c>
      <c r="B934" s="1">
        <v>45689</v>
      </c>
      <c r="C934" t="s">
        <v>10</v>
      </c>
      <c r="D934" t="s">
        <v>16</v>
      </c>
      <c r="E934" t="s">
        <v>11</v>
      </c>
      <c r="F934" t="s">
        <v>13</v>
      </c>
      <c r="G934" t="s">
        <v>13</v>
      </c>
      <c r="H934" t="s">
        <v>33</v>
      </c>
      <c r="I934" t="s">
        <v>8</v>
      </c>
      <c r="J934">
        <v>10</v>
      </c>
      <c r="K934">
        <v>241</v>
      </c>
      <c r="L934">
        <v>2410</v>
      </c>
      <c r="M934">
        <v>1836.38</v>
      </c>
      <c r="N934">
        <v>573.62</v>
      </c>
      <c r="O934" t="str">
        <f>TEXT(Table1[[#This Row],[Order_Date]],"yyy")</f>
        <v>2025</v>
      </c>
    </row>
    <row r="935" spans="1:15" x14ac:dyDescent="0.3">
      <c r="A935" t="s">
        <v>985</v>
      </c>
      <c r="B935" s="1">
        <v>45803</v>
      </c>
      <c r="C935" t="s">
        <v>22</v>
      </c>
      <c r="D935" t="s">
        <v>25</v>
      </c>
      <c r="E935" t="s">
        <v>4</v>
      </c>
      <c r="F935" t="s">
        <v>36</v>
      </c>
      <c r="G935" t="s">
        <v>36</v>
      </c>
      <c r="H935" t="s">
        <v>24</v>
      </c>
      <c r="I935" t="s">
        <v>8</v>
      </c>
      <c r="J935">
        <v>14</v>
      </c>
      <c r="K935">
        <v>4702</v>
      </c>
      <c r="L935">
        <v>65828</v>
      </c>
      <c r="M935">
        <v>37614.94</v>
      </c>
      <c r="N935">
        <v>28213.06</v>
      </c>
      <c r="O935" t="str">
        <f>TEXT(Table1[[#This Row],[Order_Date]],"yyy")</f>
        <v>2025</v>
      </c>
    </row>
    <row r="936" spans="1:15" x14ac:dyDescent="0.3">
      <c r="A936" t="s">
        <v>986</v>
      </c>
      <c r="B936" s="1">
        <v>45450</v>
      </c>
      <c r="C936" t="s">
        <v>3</v>
      </c>
      <c r="D936" t="s">
        <v>31</v>
      </c>
      <c r="E936" t="s">
        <v>4</v>
      </c>
      <c r="F936" t="s">
        <v>32</v>
      </c>
      <c r="G936" t="s">
        <v>32</v>
      </c>
      <c r="H936" t="s">
        <v>30</v>
      </c>
      <c r="I936" t="s">
        <v>15</v>
      </c>
      <c r="J936">
        <v>18</v>
      </c>
      <c r="K936">
        <v>3146</v>
      </c>
      <c r="L936">
        <v>56628</v>
      </c>
      <c r="M936">
        <v>42451.61</v>
      </c>
      <c r="N936">
        <v>14176.39</v>
      </c>
      <c r="O936" t="str">
        <f>TEXT(Table1[[#This Row],[Order_Date]],"yyy")</f>
        <v>2024</v>
      </c>
    </row>
    <row r="937" spans="1:15" x14ac:dyDescent="0.3">
      <c r="A937" t="s">
        <v>987</v>
      </c>
      <c r="B937" s="1">
        <v>45477</v>
      </c>
      <c r="C937" t="s">
        <v>10</v>
      </c>
      <c r="D937" t="s">
        <v>21</v>
      </c>
      <c r="E937" t="s">
        <v>4</v>
      </c>
      <c r="F937" t="s">
        <v>36</v>
      </c>
      <c r="G937" t="s">
        <v>36</v>
      </c>
      <c r="H937" t="s">
        <v>24</v>
      </c>
      <c r="I937" t="s">
        <v>8</v>
      </c>
      <c r="J937">
        <v>19</v>
      </c>
      <c r="K937">
        <v>801</v>
      </c>
      <c r="L937">
        <v>15219</v>
      </c>
      <c r="M937">
        <v>8763.39</v>
      </c>
      <c r="N937">
        <v>6455.61</v>
      </c>
      <c r="O937" t="str">
        <f>TEXT(Table1[[#This Row],[Order_Date]],"yyy")</f>
        <v>2024</v>
      </c>
    </row>
    <row r="938" spans="1:15" x14ac:dyDescent="0.3">
      <c r="A938" t="s">
        <v>988</v>
      </c>
      <c r="B938" s="1">
        <v>45980</v>
      </c>
      <c r="C938" t="s">
        <v>3</v>
      </c>
      <c r="D938" t="s">
        <v>21</v>
      </c>
      <c r="E938" t="s">
        <v>18</v>
      </c>
      <c r="F938" t="s">
        <v>34</v>
      </c>
      <c r="G938" t="s">
        <v>34</v>
      </c>
      <c r="H938" t="s">
        <v>33</v>
      </c>
      <c r="I938" t="s">
        <v>15</v>
      </c>
      <c r="J938">
        <v>5</v>
      </c>
      <c r="K938">
        <v>793</v>
      </c>
      <c r="L938">
        <v>3965</v>
      </c>
      <c r="M938">
        <v>2423.4899999999998</v>
      </c>
      <c r="N938">
        <v>1541.51</v>
      </c>
      <c r="O938" t="str">
        <f>TEXT(Table1[[#This Row],[Order_Date]],"yyy")</f>
        <v>2025</v>
      </c>
    </row>
    <row r="939" spans="1:15" x14ac:dyDescent="0.3">
      <c r="A939" t="s">
        <v>989</v>
      </c>
      <c r="B939" s="1">
        <v>45293</v>
      </c>
      <c r="C939" t="s">
        <v>17</v>
      </c>
      <c r="D939" t="s">
        <v>25</v>
      </c>
      <c r="E939" t="s">
        <v>4</v>
      </c>
      <c r="F939" t="s">
        <v>23</v>
      </c>
      <c r="G939" t="s">
        <v>23</v>
      </c>
      <c r="H939" t="s">
        <v>30</v>
      </c>
      <c r="I939" t="s">
        <v>8</v>
      </c>
      <c r="J939">
        <v>1</v>
      </c>
      <c r="K939">
        <v>331</v>
      </c>
      <c r="L939">
        <v>331</v>
      </c>
      <c r="M939">
        <v>182.92</v>
      </c>
      <c r="N939">
        <v>148.08000000000001</v>
      </c>
      <c r="O939" t="str">
        <f>TEXT(Table1[[#This Row],[Order_Date]],"yyy")</f>
        <v>2024</v>
      </c>
    </row>
    <row r="940" spans="1:15" x14ac:dyDescent="0.3">
      <c r="A940" t="s">
        <v>990</v>
      </c>
      <c r="B940" s="1">
        <v>45490</v>
      </c>
      <c r="C940" t="s">
        <v>22</v>
      </c>
      <c r="D940" t="s">
        <v>16</v>
      </c>
      <c r="E940" t="s">
        <v>11</v>
      </c>
      <c r="F940" t="s">
        <v>6</v>
      </c>
      <c r="G940" t="s">
        <v>6</v>
      </c>
      <c r="H940" t="s">
        <v>20</v>
      </c>
      <c r="I940" t="s">
        <v>8</v>
      </c>
      <c r="J940">
        <v>13</v>
      </c>
      <c r="K940">
        <v>4025</v>
      </c>
      <c r="L940">
        <v>52325</v>
      </c>
      <c r="M940">
        <v>41028.480000000003</v>
      </c>
      <c r="N940">
        <v>11296.52</v>
      </c>
      <c r="O940" t="str">
        <f>TEXT(Table1[[#This Row],[Order_Date]],"yyy")</f>
        <v>2024</v>
      </c>
    </row>
    <row r="941" spans="1:15" x14ac:dyDescent="0.3">
      <c r="A941" t="s">
        <v>991</v>
      </c>
      <c r="B941" s="1">
        <v>45332</v>
      </c>
      <c r="C941" t="s">
        <v>17</v>
      </c>
      <c r="D941" t="s">
        <v>25</v>
      </c>
      <c r="E941" t="s">
        <v>4</v>
      </c>
      <c r="F941" t="s">
        <v>23</v>
      </c>
      <c r="G941" t="s">
        <v>23</v>
      </c>
      <c r="H941" t="s">
        <v>35</v>
      </c>
      <c r="I941" t="s">
        <v>15</v>
      </c>
      <c r="J941">
        <v>15</v>
      </c>
      <c r="K941">
        <v>1229</v>
      </c>
      <c r="L941">
        <v>18435</v>
      </c>
      <c r="M941">
        <v>14983.67</v>
      </c>
      <c r="N941">
        <v>3451.33</v>
      </c>
      <c r="O941" t="str">
        <f>TEXT(Table1[[#This Row],[Order_Date]],"yyy")</f>
        <v>2024</v>
      </c>
    </row>
    <row r="942" spans="1:15" x14ac:dyDescent="0.3">
      <c r="A942" t="s">
        <v>992</v>
      </c>
      <c r="B942" s="1">
        <v>45784</v>
      </c>
      <c r="C942" t="s">
        <v>3</v>
      </c>
      <c r="D942" t="s">
        <v>28</v>
      </c>
      <c r="E942" t="s">
        <v>4</v>
      </c>
      <c r="F942" t="s">
        <v>32</v>
      </c>
      <c r="G942" t="s">
        <v>32</v>
      </c>
      <c r="H942" t="s">
        <v>27</v>
      </c>
      <c r="I942" t="s">
        <v>8</v>
      </c>
      <c r="J942">
        <v>6</v>
      </c>
      <c r="K942">
        <v>644</v>
      </c>
      <c r="L942">
        <v>3864</v>
      </c>
      <c r="M942">
        <v>2820.2</v>
      </c>
      <c r="N942">
        <v>1043.8</v>
      </c>
      <c r="O942" t="str">
        <f>TEXT(Table1[[#This Row],[Order_Date]],"yyy")</f>
        <v>2025</v>
      </c>
    </row>
    <row r="943" spans="1:15" x14ac:dyDescent="0.3">
      <c r="A943" t="s">
        <v>993</v>
      </c>
      <c r="B943" s="1">
        <v>45539</v>
      </c>
      <c r="C943" t="s">
        <v>22</v>
      </c>
      <c r="D943" t="s">
        <v>25</v>
      </c>
      <c r="E943" t="s">
        <v>18</v>
      </c>
      <c r="F943" t="s">
        <v>34</v>
      </c>
      <c r="G943" t="s">
        <v>34</v>
      </c>
      <c r="H943" t="s">
        <v>20</v>
      </c>
      <c r="I943" t="s">
        <v>15</v>
      </c>
      <c r="J943">
        <v>16</v>
      </c>
      <c r="K943">
        <v>3200</v>
      </c>
      <c r="L943">
        <v>51200</v>
      </c>
      <c r="M943">
        <v>34317.040000000001</v>
      </c>
      <c r="N943">
        <v>16882.96</v>
      </c>
      <c r="O943" t="str">
        <f>TEXT(Table1[[#This Row],[Order_Date]],"yyy")</f>
        <v>2024</v>
      </c>
    </row>
    <row r="944" spans="1:15" x14ac:dyDescent="0.3">
      <c r="A944" t="s">
        <v>994</v>
      </c>
      <c r="B944" s="1">
        <v>45294</v>
      </c>
      <c r="C944" t="s">
        <v>3</v>
      </c>
      <c r="D944" t="s">
        <v>25</v>
      </c>
      <c r="E944" t="s">
        <v>4</v>
      </c>
      <c r="F944" t="s">
        <v>32</v>
      </c>
      <c r="G944" t="s">
        <v>32</v>
      </c>
      <c r="H944" t="s">
        <v>24</v>
      </c>
      <c r="I944" t="s">
        <v>8</v>
      </c>
      <c r="J944">
        <v>17</v>
      </c>
      <c r="K944">
        <v>3673</v>
      </c>
      <c r="L944">
        <v>62441</v>
      </c>
      <c r="M944">
        <v>44290.25</v>
      </c>
      <c r="N944">
        <v>18150.75</v>
      </c>
      <c r="O944" t="str">
        <f>TEXT(Table1[[#This Row],[Order_Date]],"yyy")</f>
        <v>2024</v>
      </c>
    </row>
    <row r="945" spans="1:15" x14ac:dyDescent="0.3">
      <c r="A945" t="s">
        <v>995</v>
      </c>
      <c r="B945" s="1">
        <v>45766</v>
      </c>
      <c r="C945" t="s">
        <v>10</v>
      </c>
      <c r="D945" t="s">
        <v>25</v>
      </c>
      <c r="E945" t="s">
        <v>11</v>
      </c>
      <c r="F945" t="s">
        <v>19</v>
      </c>
      <c r="G945" t="s">
        <v>19</v>
      </c>
      <c r="H945" t="s">
        <v>33</v>
      </c>
      <c r="I945" t="s">
        <v>15</v>
      </c>
      <c r="J945">
        <v>16</v>
      </c>
      <c r="K945">
        <v>1811</v>
      </c>
      <c r="L945">
        <v>28976</v>
      </c>
      <c r="M945">
        <v>17916.919999999998</v>
      </c>
      <c r="N945">
        <v>11059.08</v>
      </c>
      <c r="O945" t="str">
        <f>TEXT(Table1[[#This Row],[Order_Date]],"yyy")</f>
        <v>2025</v>
      </c>
    </row>
    <row r="946" spans="1:15" x14ac:dyDescent="0.3">
      <c r="A946" t="s">
        <v>996</v>
      </c>
      <c r="B946" s="1">
        <v>45974</v>
      </c>
      <c r="C946" t="s">
        <v>3</v>
      </c>
      <c r="D946" t="s">
        <v>21</v>
      </c>
      <c r="E946" t="s">
        <v>18</v>
      </c>
      <c r="F946" t="s">
        <v>34</v>
      </c>
      <c r="G946" t="s">
        <v>34</v>
      </c>
      <c r="H946" t="s">
        <v>24</v>
      </c>
      <c r="I946" t="s">
        <v>8</v>
      </c>
      <c r="J946">
        <v>13</v>
      </c>
      <c r="K946">
        <v>2872</v>
      </c>
      <c r="L946">
        <v>37336</v>
      </c>
      <c r="M946">
        <v>21266.3</v>
      </c>
      <c r="N946">
        <v>16069.7</v>
      </c>
      <c r="O946" t="str">
        <f>TEXT(Table1[[#This Row],[Order_Date]],"yyy")</f>
        <v>2025</v>
      </c>
    </row>
    <row r="947" spans="1:15" x14ac:dyDescent="0.3">
      <c r="A947" t="s">
        <v>997</v>
      </c>
      <c r="B947" s="1">
        <v>45393</v>
      </c>
      <c r="C947" t="s">
        <v>22</v>
      </c>
      <c r="D947" t="s">
        <v>28</v>
      </c>
      <c r="E947" t="s">
        <v>11</v>
      </c>
      <c r="F947" t="s">
        <v>6</v>
      </c>
      <c r="G947" t="s">
        <v>6</v>
      </c>
      <c r="H947" t="s">
        <v>14</v>
      </c>
      <c r="I947" t="s">
        <v>8</v>
      </c>
      <c r="J947">
        <v>12</v>
      </c>
      <c r="K947">
        <v>3115</v>
      </c>
      <c r="L947">
        <v>37380</v>
      </c>
      <c r="M947">
        <v>28747.83</v>
      </c>
      <c r="N947">
        <v>8632.17</v>
      </c>
      <c r="O947" t="str">
        <f>TEXT(Table1[[#This Row],[Order_Date]],"yyy")</f>
        <v>2024</v>
      </c>
    </row>
    <row r="948" spans="1:15" x14ac:dyDescent="0.3">
      <c r="A948" t="s">
        <v>998</v>
      </c>
      <c r="B948" s="1">
        <v>45487</v>
      </c>
      <c r="C948" t="s">
        <v>10</v>
      </c>
      <c r="D948" t="s">
        <v>21</v>
      </c>
      <c r="E948" t="s">
        <v>18</v>
      </c>
      <c r="F948" t="s">
        <v>34</v>
      </c>
      <c r="G948" t="s">
        <v>34</v>
      </c>
      <c r="H948" t="s">
        <v>24</v>
      </c>
      <c r="I948" t="s">
        <v>15</v>
      </c>
      <c r="J948">
        <v>17</v>
      </c>
      <c r="K948">
        <v>1905</v>
      </c>
      <c r="L948">
        <v>32385</v>
      </c>
      <c r="M948">
        <v>19243.36</v>
      </c>
      <c r="N948">
        <v>13141.64</v>
      </c>
      <c r="O948" t="str">
        <f>TEXT(Table1[[#This Row],[Order_Date]],"yyy")</f>
        <v>2024</v>
      </c>
    </row>
    <row r="949" spans="1:15" x14ac:dyDescent="0.3">
      <c r="A949" t="s">
        <v>999</v>
      </c>
      <c r="B949" s="1">
        <v>45977</v>
      </c>
      <c r="C949" t="s">
        <v>3</v>
      </c>
      <c r="D949" t="s">
        <v>9</v>
      </c>
      <c r="E949" t="s">
        <v>18</v>
      </c>
      <c r="F949" t="s">
        <v>34</v>
      </c>
      <c r="G949" t="s">
        <v>34</v>
      </c>
      <c r="H949" t="s">
        <v>7</v>
      </c>
      <c r="I949" t="s">
        <v>15</v>
      </c>
      <c r="J949">
        <v>18</v>
      </c>
      <c r="K949">
        <v>4844</v>
      </c>
      <c r="L949">
        <v>87192</v>
      </c>
      <c r="M949">
        <v>65352.56</v>
      </c>
      <c r="N949">
        <v>21839.439999999999</v>
      </c>
      <c r="O949" t="str">
        <f>TEXT(Table1[[#This Row],[Order_Date]],"yyy")</f>
        <v>2025</v>
      </c>
    </row>
    <row r="950" spans="1:15" x14ac:dyDescent="0.3">
      <c r="A950" t="s">
        <v>1000</v>
      </c>
      <c r="B950" s="1">
        <v>45539</v>
      </c>
      <c r="C950" t="s">
        <v>17</v>
      </c>
      <c r="D950" t="s">
        <v>31</v>
      </c>
      <c r="E950" t="s">
        <v>18</v>
      </c>
      <c r="F950" t="s">
        <v>29</v>
      </c>
      <c r="G950" t="s">
        <v>29</v>
      </c>
      <c r="H950" t="s">
        <v>24</v>
      </c>
      <c r="I950" t="s">
        <v>15</v>
      </c>
      <c r="J950">
        <v>3</v>
      </c>
      <c r="K950">
        <v>1826</v>
      </c>
      <c r="L950">
        <v>5478</v>
      </c>
      <c r="M950">
        <v>3595.73</v>
      </c>
      <c r="N950">
        <v>1882.27</v>
      </c>
      <c r="O950" t="str">
        <f>TEXT(Table1[[#This Row],[Order_Date]],"yyy")</f>
        <v>2024</v>
      </c>
    </row>
    <row r="951" spans="1:15" x14ac:dyDescent="0.3">
      <c r="A951" t="s">
        <v>1001</v>
      </c>
      <c r="B951" s="1">
        <v>45577</v>
      </c>
      <c r="C951" t="s">
        <v>17</v>
      </c>
      <c r="D951" t="s">
        <v>21</v>
      </c>
      <c r="E951" t="s">
        <v>4</v>
      </c>
      <c r="F951" t="s">
        <v>36</v>
      </c>
      <c r="G951" t="s">
        <v>36</v>
      </c>
      <c r="H951" t="s">
        <v>14</v>
      </c>
      <c r="I951" t="s">
        <v>15</v>
      </c>
      <c r="J951">
        <v>5</v>
      </c>
      <c r="K951">
        <v>4604</v>
      </c>
      <c r="L951">
        <v>23020</v>
      </c>
      <c r="M951">
        <v>17439.46</v>
      </c>
      <c r="N951">
        <v>5580.54</v>
      </c>
      <c r="O951" t="str">
        <f>TEXT(Table1[[#This Row],[Order_Date]],"yyy")</f>
        <v>2024</v>
      </c>
    </row>
    <row r="952" spans="1:15" x14ac:dyDescent="0.3">
      <c r="A952" t="s">
        <v>1002</v>
      </c>
      <c r="B952" s="1">
        <v>45716</v>
      </c>
      <c r="C952" t="s">
        <v>22</v>
      </c>
      <c r="D952" t="s">
        <v>21</v>
      </c>
      <c r="E952" t="s">
        <v>18</v>
      </c>
      <c r="F952" t="s">
        <v>29</v>
      </c>
      <c r="G952" t="s">
        <v>29</v>
      </c>
      <c r="H952" t="s">
        <v>30</v>
      </c>
      <c r="I952" t="s">
        <v>8</v>
      </c>
      <c r="J952">
        <v>8</v>
      </c>
      <c r="K952">
        <v>4884</v>
      </c>
      <c r="L952">
        <v>39072</v>
      </c>
      <c r="M952">
        <v>23536.799999999999</v>
      </c>
      <c r="N952">
        <v>15535.2</v>
      </c>
      <c r="O952" t="str">
        <f>TEXT(Table1[[#This Row],[Order_Date]],"yyy")</f>
        <v>2025</v>
      </c>
    </row>
    <row r="953" spans="1:15" x14ac:dyDescent="0.3">
      <c r="A953" t="s">
        <v>1003</v>
      </c>
      <c r="B953" s="1">
        <v>45739</v>
      </c>
      <c r="C953" t="s">
        <v>3</v>
      </c>
      <c r="D953" t="s">
        <v>25</v>
      </c>
      <c r="E953" t="s">
        <v>11</v>
      </c>
      <c r="F953" t="s">
        <v>6</v>
      </c>
      <c r="G953" t="s">
        <v>6</v>
      </c>
      <c r="H953" t="s">
        <v>20</v>
      </c>
      <c r="I953" t="s">
        <v>8</v>
      </c>
      <c r="J953">
        <v>8</v>
      </c>
      <c r="K953">
        <v>4791</v>
      </c>
      <c r="L953">
        <v>38328</v>
      </c>
      <c r="M953">
        <v>21646.44</v>
      </c>
      <c r="N953">
        <v>16681.560000000001</v>
      </c>
      <c r="O953" t="str">
        <f>TEXT(Table1[[#This Row],[Order_Date]],"yyy")</f>
        <v>2025</v>
      </c>
    </row>
    <row r="954" spans="1:15" x14ac:dyDescent="0.3">
      <c r="A954" t="s">
        <v>1004</v>
      </c>
      <c r="B954" s="1">
        <v>45513</v>
      </c>
      <c r="C954" t="s">
        <v>3</v>
      </c>
      <c r="D954" t="s">
        <v>25</v>
      </c>
      <c r="E954" t="s">
        <v>11</v>
      </c>
      <c r="F954" t="s">
        <v>6</v>
      </c>
      <c r="G954" t="s">
        <v>6</v>
      </c>
      <c r="H954" t="s">
        <v>20</v>
      </c>
      <c r="I954" t="s">
        <v>15</v>
      </c>
      <c r="J954">
        <v>17</v>
      </c>
      <c r="K954">
        <v>2518</v>
      </c>
      <c r="L954">
        <v>42806</v>
      </c>
      <c r="M954">
        <v>27319.39</v>
      </c>
      <c r="N954">
        <v>15486.61</v>
      </c>
      <c r="O954" t="str">
        <f>TEXT(Table1[[#This Row],[Order_Date]],"yyy")</f>
        <v>2024</v>
      </c>
    </row>
    <row r="955" spans="1:15" x14ac:dyDescent="0.3">
      <c r="A955" t="s">
        <v>1005</v>
      </c>
      <c r="B955" s="1">
        <v>45395</v>
      </c>
      <c r="C955" t="s">
        <v>17</v>
      </c>
      <c r="D955" t="s">
        <v>9</v>
      </c>
      <c r="E955" t="s">
        <v>18</v>
      </c>
      <c r="F955" t="s">
        <v>34</v>
      </c>
      <c r="G955" t="s">
        <v>34</v>
      </c>
      <c r="H955" t="s">
        <v>33</v>
      </c>
      <c r="I955" t="s">
        <v>8</v>
      </c>
      <c r="J955">
        <v>11</v>
      </c>
      <c r="K955">
        <v>4808</v>
      </c>
      <c r="L955">
        <v>52888</v>
      </c>
      <c r="M955">
        <v>32706.9</v>
      </c>
      <c r="N955">
        <v>20181.099999999999</v>
      </c>
      <c r="O955" t="str">
        <f>TEXT(Table1[[#This Row],[Order_Date]],"yyy")</f>
        <v>2024</v>
      </c>
    </row>
    <row r="956" spans="1:15" x14ac:dyDescent="0.3">
      <c r="A956" t="s">
        <v>1006</v>
      </c>
      <c r="B956" s="1">
        <v>45817</v>
      </c>
      <c r="C956" t="s">
        <v>3</v>
      </c>
      <c r="D956" t="s">
        <v>25</v>
      </c>
      <c r="E956" t="s">
        <v>18</v>
      </c>
      <c r="F956" t="s">
        <v>26</v>
      </c>
      <c r="G956" t="s">
        <v>26</v>
      </c>
      <c r="H956" t="s">
        <v>33</v>
      </c>
      <c r="I956" t="s">
        <v>8</v>
      </c>
      <c r="J956">
        <v>18</v>
      </c>
      <c r="K956">
        <v>3884</v>
      </c>
      <c r="L956">
        <v>69912</v>
      </c>
      <c r="M956">
        <v>48819.98</v>
      </c>
      <c r="N956">
        <v>21092.02</v>
      </c>
      <c r="O956" t="str">
        <f>TEXT(Table1[[#This Row],[Order_Date]],"yyy")</f>
        <v>2025</v>
      </c>
    </row>
    <row r="957" spans="1:15" x14ac:dyDescent="0.3">
      <c r="A957" t="s">
        <v>1007</v>
      </c>
      <c r="B957" s="1">
        <v>45490</v>
      </c>
      <c r="C957" t="s">
        <v>3</v>
      </c>
      <c r="D957" t="s">
        <v>21</v>
      </c>
      <c r="E957" t="s">
        <v>11</v>
      </c>
      <c r="F957" t="s">
        <v>19</v>
      </c>
      <c r="G957" t="s">
        <v>19</v>
      </c>
      <c r="H957" t="s">
        <v>7</v>
      </c>
      <c r="I957" t="s">
        <v>8</v>
      </c>
      <c r="J957">
        <v>10</v>
      </c>
      <c r="K957">
        <v>2689</v>
      </c>
      <c r="L957">
        <v>26890</v>
      </c>
      <c r="M957">
        <v>20328.73</v>
      </c>
      <c r="N957">
        <v>6561.27</v>
      </c>
      <c r="O957" t="str">
        <f>TEXT(Table1[[#This Row],[Order_Date]],"yyy")</f>
        <v>2024</v>
      </c>
    </row>
    <row r="958" spans="1:15" x14ac:dyDescent="0.3">
      <c r="A958" t="s">
        <v>1008</v>
      </c>
      <c r="B958" s="1">
        <v>45621</v>
      </c>
      <c r="C958" t="s">
        <v>10</v>
      </c>
      <c r="D958" t="s">
        <v>16</v>
      </c>
      <c r="E958" t="s">
        <v>11</v>
      </c>
      <c r="F958" t="s">
        <v>6</v>
      </c>
      <c r="G958" t="s">
        <v>6</v>
      </c>
      <c r="H958" t="s">
        <v>30</v>
      </c>
      <c r="I958" t="s">
        <v>8</v>
      </c>
      <c r="J958">
        <v>12</v>
      </c>
      <c r="K958">
        <v>3671</v>
      </c>
      <c r="L958">
        <v>44052</v>
      </c>
      <c r="M958">
        <v>28006.92</v>
      </c>
      <c r="N958">
        <v>16045.08</v>
      </c>
      <c r="O958" t="str">
        <f>TEXT(Table1[[#This Row],[Order_Date]],"yyy")</f>
        <v>2024</v>
      </c>
    </row>
    <row r="959" spans="1:15" x14ac:dyDescent="0.3">
      <c r="A959" t="s">
        <v>1009</v>
      </c>
      <c r="B959" s="1">
        <v>45652</v>
      </c>
      <c r="C959" t="s">
        <v>3</v>
      </c>
      <c r="D959" t="s">
        <v>31</v>
      </c>
      <c r="E959" t="s">
        <v>18</v>
      </c>
      <c r="F959" t="s">
        <v>26</v>
      </c>
      <c r="G959" t="s">
        <v>26</v>
      </c>
      <c r="H959" t="s">
        <v>7</v>
      </c>
      <c r="I959" t="s">
        <v>8</v>
      </c>
      <c r="J959">
        <v>7</v>
      </c>
      <c r="K959">
        <v>1306</v>
      </c>
      <c r="L959">
        <v>9142</v>
      </c>
      <c r="M959">
        <v>6045.72</v>
      </c>
      <c r="N959">
        <v>3096.28</v>
      </c>
      <c r="O959" t="str">
        <f>TEXT(Table1[[#This Row],[Order_Date]],"yyy")</f>
        <v>2024</v>
      </c>
    </row>
    <row r="960" spans="1:15" x14ac:dyDescent="0.3">
      <c r="A960" t="s">
        <v>1010</v>
      </c>
      <c r="B960" s="1">
        <v>45700</v>
      </c>
      <c r="C960" t="s">
        <v>3</v>
      </c>
      <c r="D960" t="s">
        <v>16</v>
      </c>
      <c r="E960" t="s">
        <v>18</v>
      </c>
      <c r="F960" t="s">
        <v>26</v>
      </c>
      <c r="G960" t="s">
        <v>26</v>
      </c>
      <c r="H960" t="s">
        <v>30</v>
      </c>
      <c r="I960" t="s">
        <v>8</v>
      </c>
      <c r="J960">
        <v>8</v>
      </c>
      <c r="K960">
        <v>3591</v>
      </c>
      <c r="L960">
        <v>28728</v>
      </c>
      <c r="M960">
        <v>15870.58</v>
      </c>
      <c r="N960">
        <v>12857.42</v>
      </c>
      <c r="O960" t="str">
        <f>TEXT(Table1[[#This Row],[Order_Date]],"yyy")</f>
        <v>2025</v>
      </c>
    </row>
    <row r="961" spans="1:15" x14ac:dyDescent="0.3">
      <c r="A961" t="s">
        <v>1011</v>
      </c>
      <c r="B961" s="1">
        <v>45708</v>
      </c>
      <c r="C961" t="s">
        <v>3</v>
      </c>
      <c r="D961" t="s">
        <v>31</v>
      </c>
      <c r="E961" t="s">
        <v>4</v>
      </c>
      <c r="F961" t="s">
        <v>32</v>
      </c>
      <c r="G961" t="s">
        <v>32</v>
      </c>
      <c r="H961" t="s">
        <v>27</v>
      </c>
      <c r="I961" t="s">
        <v>15</v>
      </c>
      <c r="J961">
        <v>8</v>
      </c>
      <c r="K961">
        <v>2231</v>
      </c>
      <c r="L961">
        <v>17848</v>
      </c>
      <c r="M961">
        <v>12644.67</v>
      </c>
      <c r="N961">
        <v>5203.33</v>
      </c>
      <c r="O961" t="str">
        <f>TEXT(Table1[[#This Row],[Order_Date]],"yyy")</f>
        <v>2025</v>
      </c>
    </row>
    <row r="962" spans="1:15" x14ac:dyDescent="0.3">
      <c r="A962" t="s">
        <v>1012</v>
      </c>
      <c r="B962" s="1">
        <v>45501</v>
      </c>
      <c r="C962" t="s">
        <v>10</v>
      </c>
      <c r="D962" t="s">
        <v>9</v>
      </c>
      <c r="E962" t="s">
        <v>11</v>
      </c>
      <c r="F962" t="s">
        <v>19</v>
      </c>
      <c r="G962" t="s">
        <v>19</v>
      </c>
      <c r="H962" t="s">
        <v>30</v>
      </c>
      <c r="I962" t="s">
        <v>15</v>
      </c>
      <c r="J962">
        <v>15</v>
      </c>
      <c r="K962">
        <v>4925</v>
      </c>
      <c r="L962">
        <v>73875</v>
      </c>
      <c r="M962">
        <v>60404.94</v>
      </c>
      <c r="N962">
        <v>13470.06</v>
      </c>
      <c r="O962" t="str">
        <f>TEXT(Table1[[#This Row],[Order_Date]],"yyy")</f>
        <v>2024</v>
      </c>
    </row>
    <row r="963" spans="1:15" x14ac:dyDescent="0.3">
      <c r="A963" t="s">
        <v>1013</v>
      </c>
      <c r="B963" s="1">
        <v>45521</v>
      </c>
      <c r="C963" t="s">
        <v>17</v>
      </c>
      <c r="D963" t="s">
        <v>16</v>
      </c>
      <c r="E963" t="s">
        <v>4</v>
      </c>
      <c r="F963" t="s">
        <v>36</v>
      </c>
      <c r="G963" t="s">
        <v>36</v>
      </c>
      <c r="H963" t="s">
        <v>27</v>
      </c>
      <c r="I963" t="s">
        <v>15</v>
      </c>
      <c r="J963">
        <v>17</v>
      </c>
      <c r="K963">
        <v>530</v>
      </c>
      <c r="L963">
        <v>9010</v>
      </c>
      <c r="M963">
        <v>7594.45</v>
      </c>
      <c r="N963">
        <v>1415.55</v>
      </c>
      <c r="O963" t="str">
        <f>TEXT(Table1[[#This Row],[Order_Date]],"yyy")</f>
        <v>2024</v>
      </c>
    </row>
    <row r="964" spans="1:15" x14ac:dyDescent="0.3">
      <c r="A964" t="s">
        <v>1014</v>
      </c>
      <c r="B964" s="1">
        <v>45592</v>
      </c>
      <c r="C964" t="s">
        <v>22</v>
      </c>
      <c r="D964" t="s">
        <v>25</v>
      </c>
      <c r="E964" t="s">
        <v>18</v>
      </c>
      <c r="F964" t="s">
        <v>34</v>
      </c>
      <c r="G964" t="s">
        <v>34</v>
      </c>
      <c r="H964" t="s">
        <v>35</v>
      </c>
      <c r="I964" t="s">
        <v>15</v>
      </c>
      <c r="J964">
        <v>13</v>
      </c>
      <c r="K964">
        <v>4538</v>
      </c>
      <c r="L964">
        <v>58994</v>
      </c>
      <c r="M964">
        <v>45149.18</v>
      </c>
      <c r="N964">
        <v>13844.82</v>
      </c>
      <c r="O964" t="str">
        <f>TEXT(Table1[[#This Row],[Order_Date]],"yyy")</f>
        <v>2024</v>
      </c>
    </row>
    <row r="965" spans="1:15" x14ac:dyDescent="0.3">
      <c r="A965" t="s">
        <v>1015</v>
      </c>
      <c r="B965" s="1">
        <v>45933</v>
      </c>
      <c r="C965" t="s">
        <v>10</v>
      </c>
      <c r="D965" t="s">
        <v>9</v>
      </c>
      <c r="E965" t="s">
        <v>4</v>
      </c>
      <c r="F965" t="s">
        <v>23</v>
      </c>
      <c r="G965" t="s">
        <v>23</v>
      </c>
      <c r="H965" t="s">
        <v>30</v>
      </c>
      <c r="I965" t="s">
        <v>8</v>
      </c>
      <c r="J965">
        <v>13</v>
      </c>
      <c r="K965">
        <v>1502</v>
      </c>
      <c r="L965">
        <v>19526</v>
      </c>
      <c r="M965">
        <v>13873.07</v>
      </c>
      <c r="N965">
        <v>5652.93</v>
      </c>
      <c r="O965" t="str">
        <f>TEXT(Table1[[#This Row],[Order_Date]],"yyy")</f>
        <v>2025</v>
      </c>
    </row>
    <row r="966" spans="1:15" x14ac:dyDescent="0.3">
      <c r="A966" t="s">
        <v>1016</v>
      </c>
      <c r="B966" s="1">
        <v>45465</v>
      </c>
      <c r="C966" t="s">
        <v>3</v>
      </c>
      <c r="D966" t="s">
        <v>9</v>
      </c>
      <c r="E966" t="s">
        <v>18</v>
      </c>
      <c r="F966" t="s">
        <v>26</v>
      </c>
      <c r="G966" t="s">
        <v>26</v>
      </c>
      <c r="H966" t="s">
        <v>7</v>
      </c>
      <c r="I966" t="s">
        <v>8</v>
      </c>
      <c r="J966">
        <v>20</v>
      </c>
      <c r="K966">
        <v>384</v>
      </c>
      <c r="L966">
        <v>7680</v>
      </c>
      <c r="M966">
        <v>4284.43</v>
      </c>
      <c r="N966">
        <v>3395.57</v>
      </c>
      <c r="O966" t="str">
        <f>TEXT(Table1[[#This Row],[Order_Date]],"yyy")</f>
        <v>2024</v>
      </c>
    </row>
    <row r="967" spans="1:15" x14ac:dyDescent="0.3">
      <c r="A967" t="s">
        <v>1017</v>
      </c>
      <c r="B967" s="1">
        <v>45573</v>
      </c>
      <c r="C967" t="s">
        <v>3</v>
      </c>
      <c r="D967" t="s">
        <v>31</v>
      </c>
      <c r="E967" t="s">
        <v>4</v>
      </c>
      <c r="F967" t="s">
        <v>36</v>
      </c>
      <c r="G967" t="s">
        <v>36</v>
      </c>
      <c r="H967" t="s">
        <v>20</v>
      </c>
      <c r="I967" t="s">
        <v>8</v>
      </c>
      <c r="J967">
        <v>3</v>
      </c>
      <c r="K967">
        <v>1315</v>
      </c>
      <c r="L967">
        <v>3945</v>
      </c>
      <c r="M967">
        <v>3318.25</v>
      </c>
      <c r="N967">
        <v>626.75</v>
      </c>
      <c r="O967" t="str">
        <f>TEXT(Table1[[#This Row],[Order_Date]],"yyy")</f>
        <v>2024</v>
      </c>
    </row>
    <row r="968" spans="1:15" x14ac:dyDescent="0.3">
      <c r="A968" t="s">
        <v>1018</v>
      </c>
      <c r="B968" s="1">
        <v>45808</v>
      </c>
      <c r="C968" t="s">
        <v>22</v>
      </c>
      <c r="D968" t="s">
        <v>25</v>
      </c>
      <c r="E968" t="s">
        <v>4</v>
      </c>
      <c r="F968" t="s">
        <v>36</v>
      </c>
      <c r="G968" t="s">
        <v>36</v>
      </c>
      <c r="H968" t="s">
        <v>27</v>
      </c>
      <c r="I968" t="s">
        <v>8</v>
      </c>
      <c r="J968">
        <v>20</v>
      </c>
      <c r="K968">
        <v>4841</v>
      </c>
      <c r="L968">
        <v>96820</v>
      </c>
      <c r="M968">
        <v>66533.87</v>
      </c>
      <c r="N968">
        <v>30286.13</v>
      </c>
      <c r="O968" t="str">
        <f>TEXT(Table1[[#This Row],[Order_Date]],"yyy")</f>
        <v>2025</v>
      </c>
    </row>
    <row r="969" spans="1:15" x14ac:dyDescent="0.3">
      <c r="A969" t="s">
        <v>1019</v>
      </c>
      <c r="B969" s="1">
        <v>45548</v>
      </c>
      <c r="C969" t="s">
        <v>22</v>
      </c>
      <c r="D969" t="s">
        <v>25</v>
      </c>
      <c r="E969" t="s">
        <v>4</v>
      </c>
      <c r="F969" t="s">
        <v>32</v>
      </c>
      <c r="G969" t="s">
        <v>32</v>
      </c>
      <c r="H969" t="s">
        <v>27</v>
      </c>
      <c r="I969" t="s">
        <v>8</v>
      </c>
      <c r="J969">
        <v>13</v>
      </c>
      <c r="K969">
        <v>4644</v>
      </c>
      <c r="L969">
        <v>60372</v>
      </c>
      <c r="M969">
        <v>47088.57</v>
      </c>
      <c r="N969">
        <v>13283.43</v>
      </c>
      <c r="O969" t="str">
        <f>TEXT(Table1[[#This Row],[Order_Date]],"yyy")</f>
        <v>2024</v>
      </c>
    </row>
    <row r="970" spans="1:15" x14ac:dyDescent="0.3">
      <c r="A970" t="s">
        <v>1020</v>
      </c>
      <c r="B970" s="1">
        <v>45502</v>
      </c>
      <c r="C970" t="s">
        <v>22</v>
      </c>
      <c r="D970" t="s">
        <v>28</v>
      </c>
      <c r="E970" t="s">
        <v>4</v>
      </c>
      <c r="F970" t="s">
        <v>32</v>
      </c>
      <c r="G970" t="s">
        <v>32</v>
      </c>
      <c r="H970" t="s">
        <v>33</v>
      </c>
      <c r="I970" t="s">
        <v>15</v>
      </c>
      <c r="J970">
        <v>17</v>
      </c>
      <c r="K970">
        <v>3108</v>
      </c>
      <c r="L970">
        <v>52836</v>
      </c>
      <c r="M970">
        <v>42862.45</v>
      </c>
      <c r="N970">
        <v>9973.5499999999993</v>
      </c>
      <c r="O970" t="str">
        <f>TEXT(Table1[[#This Row],[Order_Date]],"yyy")</f>
        <v>2024</v>
      </c>
    </row>
    <row r="971" spans="1:15" x14ac:dyDescent="0.3">
      <c r="A971" t="s">
        <v>1021</v>
      </c>
      <c r="B971" s="1">
        <v>45739</v>
      </c>
      <c r="C971" t="s">
        <v>10</v>
      </c>
      <c r="D971" t="s">
        <v>25</v>
      </c>
      <c r="E971" t="s">
        <v>18</v>
      </c>
      <c r="F971" t="s">
        <v>26</v>
      </c>
      <c r="G971" t="s">
        <v>26</v>
      </c>
      <c r="H971" t="s">
        <v>24</v>
      </c>
      <c r="I971" t="s">
        <v>15</v>
      </c>
      <c r="J971">
        <v>19</v>
      </c>
      <c r="K971">
        <v>3947</v>
      </c>
      <c r="L971">
        <v>74993</v>
      </c>
      <c r="M971">
        <v>52048.45</v>
      </c>
      <c r="N971">
        <v>22944.55</v>
      </c>
      <c r="O971" t="str">
        <f>TEXT(Table1[[#This Row],[Order_Date]],"yyy")</f>
        <v>2025</v>
      </c>
    </row>
    <row r="972" spans="1:15" x14ac:dyDescent="0.3">
      <c r="A972" t="s">
        <v>1022</v>
      </c>
      <c r="B972" s="1">
        <v>45602</v>
      </c>
      <c r="C972" t="s">
        <v>17</v>
      </c>
      <c r="D972" t="s">
        <v>9</v>
      </c>
      <c r="E972" t="s">
        <v>18</v>
      </c>
      <c r="F972" t="s">
        <v>29</v>
      </c>
      <c r="G972" t="s">
        <v>29</v>
      </c>
      <c r="H972" t="s">
        <v>14</v>
      </c>
      <c r="I972" t="s">
        <v>8</v>
      </c>
      <c r="J972">
        <v>19</v>
      </c>
      <c r="K972">
        <v>4070</v>
      </c>
      <c r="L972">
        <v>77330</v>
      </c>
      <c r="M972">
        <v>49058.82</v>
      </c>
      <c r="N972">
        <v>28271.18</v>
      </c>
      <c r="O972" t="str">
        <f>TEXT(Table1[[#This Row],[Order_Date]],"yyy")</f>
        <v>2024</v>
      </c>
    </row>
    <row r="973" spans="1:15" x14ac:dyDescent="0.3">
      <c r="A973" t="s">
        <v>1023</v>
      </c>
      <c r="B973" s="1">
        <v>45895</v>
      </c>
      <c r="C973" t="s">
        <v>10</v>
      </c>
      <c r="D973" t="s">
        <v>31</v>
      </c>
      <c r="E973" t="s">
        <v>11</v>
      </c>
      <c r="F973" t="s">
        <v>19</v>
      </c>
      <c r="G973" t="s">
        <v>19</v>
      </c>
      <c r="H973" t="s">
        <v>20</v>
      </c>
      <c r="I973" t="s">
        <v>8</v>
      </c>
      <c r="J973">
        <v>10</v>
      </c>
      <c r="K973">
        <v>1022</v>
      </c>
      <c r="L973">
        <v>10220</v>
      </c>
      <c r="M973">
        <v>6286.48</v>
      </c>
      <c r="N973">
        <v>3933.52</v>
      </c>
      <c r="O973" t="str">
        <f>TEXT(Table1[[#This Row],[Order_Date]],"yyy")</f>
        <v>2025</v>
      </c>
    </row>
    <row r="974" spans="1:15" x14ac:dyDescent="0.3">
      <c r="A974" t="s">
        <v>1024</v>
      </c>
      <c r="B974" s="1">
        <v>45502</v>
      </c>
      <c r="C974" t="s">
        <v>17</v>
      </c>
      <c r="D974" t="s">
        <v>21</v>
      </c>
      <c r="E974" t="s">
        <v>11</v>
      </c>
      <c r="F974" t="s">
        <v>13</v>
      </c>
      <c r="G974" t="s">
        <v>13</v>
      </c>
      <c r="H974" t="s">
        <v>24</v>
      </c>
      <c r="I974" t="s">
        <v>8</v>
      </c>
      <c r="J974">
        <v>17</v>
      </c>
      <c r="K974">
        <v>2297</v>
      </c>
      <c r="L974">
        <v>39049</v>
      </c>
      <c r="M974">
        <v>29389.56</v>
      </c>
      <c r="N974">
        <v>9659.44</v>
      </c>
      <c r="O974" t="str">
        <f>TEXT(Table1[[#This Row],[Order_Date]],"yyy")</f>
        <v>2024</v>
      </c>
    </row>
    <row r="975" spans="1:15" x14ac:dyDescent="0.3">
      <c r="A975" t="s">
        <v>1025</v>
      </c>
      <c r="B975" s="1">
        <v>45571</v>
      </c>
      <c r="C975" t="s">
        <v>17</v>
      </c>
      <c r="D975" t="s">
        <v>16</v>
      </c>
      <c r="E975" t="s">
        <v>11</v>
      </c>
      <c r="F975" t="s">
        <v>19</v>
      </c>
      <c r="G975" t="s">
        <v>19</v>
      </c>
      <c r="H975" t="s">
        <v>33</v>
      </c>
      <c r="I975" t="s">
        <v>15</v>
      </c>
      <c r="J975">
        <v>11</v>
      </c>
      <c r="K975">
        <v>4695</v>
      </c>
      <c r="L975">
        <v>51645</v>
      </c>
      <c r="M975">
        <v>31397.88</v>
      </c>
      <c r="N975">
        <v>20247.12</v>
      </c>
      <c r="O975" t="str">
        <f>TEXT(Table1[[#This Row],[Order_Date]],"yyy")</f>
        <v>2024</v>
      </c>
    </row>
    <row r="976" spans="1:15" x14ac:dyDescent="0.3">
      <c r="A976" t="s">
        <v>1026</v>
      </c>
      <c r="B976" s="1">
        <v>45452</v>
      </c>
      <c r="C976" t="s">
        <v>3</v>
      </c>
      <c r="D976" t="s">
        <v>16</v>
      </c>
      <c r="E976" t="s">
        <v>18</v>
      </c>
      <c r="F976" t="s">
        <v>29</v>
      </c>
      <c r="G976" t="s">
        <v>29</v>
      </c>
      <c r="H976" t="s">
        <v>35</v>
      </c>
      <c r="I976" t="s">
        <v>8</v>
      </c>
      <c r="J976">
        <v>11</v>
      </c>
      <c r="K976">
        <v>2977</v>
      </c>
      <c r="L976">
        <v>32747</v>
      </c>
      <c r="M976">
        <v>24808.89</v>
      </c>
      <c r="N976">
        <v>7938.11</v>
      </c>
      <c r="O976" t="str">
        <f>TEXT(Table1[[#This Row],[Order_Date]],"yyy")</f>
        <v>2024</v>
      </c>
    </row>
    <row r="977" spans="1:15" x14ac:dyDescent="0.3">
      <c r="A977" t="s">
        <v>1027</v>
      </c>
      <c r="B977" s="1">
        <v>45839</v>
      </c>
      <c r="C977" t="s">
        <v>3</v>
      </c>
      <c r="D977" t="s">
        <v>25</v>
      </c>
      <c r="E977" t="s">
        <v>18</v>
      </c>
      <c r="F977" t="s">
        <v>26</v>
      </c>
      <c r="G977" t="s">
        <v>26</v>
      </c>
      <c r="H977" t="s">
        <v>35</v>
      </c>
      <c r="I977" t="s">
        <v>15</v>
      </c>
      <c r="J977">
        <v>3</v>
      </c>
      <c r="K977">
        <v>2036</v>
      </c>
      <c r="L977">
        <v>6108</v>
      </c>
      <c r="M977">
        <v>3963.63</v>
      </c>
      <c r="N977">
        <v>2144.37</v>
      </c>
      <c r="O977" t="str">
        <f>TEXT(Table1[[#This Row],[Order_Date]],"yyy")</f>
        <v>2025</v>
      </c>
    </row>
    <row r="978" spans="1:15" x14ac:dyDescent="0.3">
      <c r="A978" t="s">
        <v>1028</v>
      </c>
      <c r="B978" s="1">
        <v>45687</v>
      </c>
      <c r="C978" t="s">
        <v>3</v>
      </c>
      <c r="D978" t="s">
        <v>16</v>
      </c>
      <c r="E978" t="s">
        <v>4</v>
      </c>
      <c r="F978" t="s">
        <v>32</v>
      </c>
      <c r="G978" t="s">
        <v>32</v>
      </c>
      <c r="H978" t="s">
        <v>33</v>
      </c>
      <c r="I978" t="s">
        <v>15</v>
      </c>
      <c r="J978">
        <v>20</v>
      </c>
      <c r="K978">
        <v>4591</v>
      </c>
      <c r="L978">
        <v>91820</v>
      </c>
      <c r="M978">
        <v>66599.53</v>
      </c>
      <c r="N978">
        <v>25220.47</v>
      </c>
      <c r="O978" t="str">
        <f>TEXT(Table1[[#This Row],[Order_Date]],"yyy")</f>
        <v>2025</v>
      </c>
    </row>
    <row r="979" spans="1:15" x14ac:dyDescent="0.3">
      <c r="A979" t="s">
        <v>1029</v>
      </c>
      <c r="B979" s="1">
        <v>45568</v>
      </c>
      <c r="C979" t="s">
        <v>17</v>
      </c>
      <c r="D979" t="s">
        <v>28</v>
      </c>
      <c r="E979" t="s">
        <v>4</v>
      </c>
      <c r="F979" t="s">
        <v>36</v>
      </c>
      <c r="G979" t="s">
        <v>36</v>
      </c>
      <c r="H979" t="s">
        <v>27</v>
      </c>
      <c r="I979" t="s">
        <v>8</v>
      </c>
      <c r="J979">
        <v>20</v>
      </c>
      <c r="K979">
        <v>1485</v>
      </c>
      <c r="L979">
        <v>29700</v>
      </c>
      <c r="M979">
        <v>19619.82</v>
      </c>
      <c r="N979">
        <v>10080.18</v>
      </c>
      <c r="O979" t="str">
        <f>TEXT(Table1[[#This Row],[Order_Date]],"yyy")</f>
        <v>2024</v>
      </c>
    </row>
    <row r="980" spans="1:15" x14ac:dyDescent="0.3">
      <c r="A980" t="s">
        <v>1030</v>
      </c>
      <c r="B980" s="1">
        <v>45688</v>
      </c>
      <c r="C980" t="s">
        <v>3</v>
      </c>
      <c r="D980" t="s">
        <v>9</v>
      </c>
      <c r="E980" t="s">
        <v>4</v>
      </c>
      <c r="F980" t="s">
        <v>32</v>
      </c>
      <c r="G980" t="s">
        <v>32</v>
      </c>
      <c r="H980" t="s">
        <v>27</v>
      </c>
      <c r="I980" t="s">
        <v>15</v>
      </c>
      <c r="J980">
        <v>6</v>
      </c>
      <c r="K980">
        <v>4844</v>
      </c>
      <c r="L980">
        <v>29064</v>
      </c>
      <c r="M980">
        <v>16967.419999999998</v>
      </c>
      <c r="N980">
        <v>12096.58</v>
      </c>
      <c r="O980" t="str">
        <f>TEXT(Table1[[#This Row],[Order_Date]],"yyy")</f>
        <v>2025</v>
      </c>
    </row>
    <row r="981" spans="1:15" x14ac:dyDescent="0.3">
      <c r="A981" t="s">
        <v>1031</v>
      </c>
      <c r="B981" s="1">
        <v>45579</v>
      </c>
      <c r="C981" t="s">
        <v>3</v>
      </c>
      <c r="D981" t="s">
        <v>16</v>
      </c>
      <c r="E981" t="s">
        <v>4</v>
      </c>
      <c r="F981" t="s">
        <v>23</v>
      </c>
      <c r="G981" t="s">
        <v>23</v>
      </c>
      <c r="H981" t="s">
        <v>33</v>
      </c>
      <c r="I981" t="s">
        <v>15</v>
      </c>
      <c r="J981">
        <v>14</v>
      </c>
      <c r="K981">
        <v>2074</v>
      </c>
      <c r="L981">
        <v>29036</v>
      </c>
      <c r="M981">
        <v>23818.92</v>
      </c>
      <c r="N981">
        <v>5217.08</v>
      </c>
      <c r="O981" t="str">
        <f>TEXT(Table1[[#This Row],[Order_Date]],"yyy")</f>
        <v>2024</v>
      </c>
    </row>
    <row r="982" spans="1:15" x14ac:dyDescent="0.3">
      <c r="A982" t="s">
        <v>1032</v>
      </c>
      <c r="B982" s="1">
        <v>46005</v>
      </c>
      <c r="C982" t="s">
        <v>22</v>
      </c>
      <c r="D982" t="s">
        <v>28</v>
      </c>
      <c r="E982" t="s">
        <v>18</v>
      </c>
      <c r="F982" t="s">
        <v>34</v>
      </c>
      <c r="G982" t="s">
        <v>34</v>
      </c>
      <c r="H982" t="s">
        <v>35</v>
      </c>
      <c r="I982" t="s">
        <v>8</v>
      </c>
      <c r="J982">
        <v>9</v>
      </c>
      <c r="K982">
        <v>1602</v>
      </c>
      <c r="L982">
        <v>14418</v>
      </c>
      <c r="M982">
        <v>11408.58</v>
      </c>
      <c r="N982">
        <v>3009.42</v>
      </c>
      <c r="O982" t="str">
        <f>TEXT(Table1[[#This Row],[Order_Date]],"yyy")</f>
        <v>2025</v>
      </c>
    </row>
    <row r="983" spans="1:15" x14ac:dyDescent="0.3">
      <c r="A983" t="s">
        <v>1033</v>
      </c>
      <c r="B983" s="1">
        <v>45842</v>
      </c>
      <c r="C983" t="s">
        <v>22</v>
      </c>
      <c r="D983" t="s">
        <v>9</v>
      </c>
      <c r="E983" t="s">
        <v>4</v>
      </c>
      <c r="F983" t="s">
        <v>36</v>
      </c>
      <c r="G983" t="s">
        <v>36</v>
      </c>
      <c r="H983" t="s">
        <v>27</v>
      </c>
      <c r="I983" t="s">
        <v>15</v>
      </c>
      <c r="J983">
        <v>14</v>
      </c>
      <c r="K983">
        <v>249</v>
      </c>
      <c r="L983">
        <v>3486</v>
      </c>
      <c r="M983">
        <v>2694.07</v>
      </c>
      <c r="N983">
        <v>791.93</v>
      </c>
      <c r="O983" t="str">
        <f>TEXT(Table1[[#This Row],[Order_Date]],"yyy")</f>
        <v>2025</v>
      </c>
    </row>
    <row r="984" spans="1:15" x14ac:dyDescent="0.3">
      <c r="A984" t="s">
        <v>1034</v>
      </c>
      <c r="B984" s="1">
        <v>45819</v>
      </c>
      <c r="C984" t="s">
        <v>17</v>
      </c>
      <c r="D984" t="s">
        <v>31</v>
      </c>
      <c r="E984" t="s">
        <v>18</v>
      </c>
      <c r="F984" t="s">
        <v>29</v>
      </c>
      <c r="G984" t="s">
        <v>29</v>
      </c>
      <c r="H984" t="s">
        <v>20</v>
      </c>
      <c r="I984" t="s">
        <v>15</v>
      </c>
      <c r="J984">
        <v>20</v>
      </c>
      <c r="K984">
        <v>3073</v>
      </c>
      <c r="L984">
        <v>61460</v>
      </c>
      <c r="M984">
        <v>42320.66</v>
      </c>
      <c r="N984">
        <v>19139.34</v>
      </c>
      <c r="O984" t="str">
        <f>TEXT(Table1[[#This Row],[Order_Date]],"yyy")</f>
        <v>2025</v>
      </c>
    </row>
    <row r="985" spans="1:15" x14ac:dyDescent="0.3">
      <c r="A985" t="s">
        <v>1035</v>
      </c>
      <c r="B985" s="1">
        <v>45930</v>
      </c>
      <c r="C985" t="s">
        <v>17</v>
      </c>
      <c r="D985" t="s">
        <v>9</v>
      </c>
      <c r="E985" t="s">
        <v>4</v>
      </c>
      <c r="F985" t="s">
        <v>23</v>
      </c>
      <c r="G985" t="s">
        <v>23</v>
      </c>
      <c r="H985" t="s">
        <v>24</v>
      </c>
      <c r="I985" t="s">
        <v>15</v>
      </c>
      <c r="J985">
        <v>10</v>
      </c>
      <c r="K985">
        <v>543</v>
      </c>
      <c r="L985">
        <v>5430</v>
      </c>
      <c r="M985">
        <v>4016.35</v>
      </c>
      <c r="N985">
        <v>1413.65</v>
      </c>
      <c r="O985" t="str">
        <f>TEXT(Table1[[#This Row],[Order_Date]],"yyy")</f>
        <v>2025</v>
      </c>
    </row>
    <row r="986" spans="1:15" x14ac:dyDescent="0.3">
      <c r="A986" t="s">
        <v>1036</v>
      </c>
      <c r="B986" s="1">
        <v>45707</v>
      </c>
      <c r="C986" t="s">
        <v>10</v>
      </c>
      <c r="D986" t="s">
        <v>31</v>
      </c>
      <c r="E986" t="s">
        <v>4</v>
      </c>
      <c r="F986" t="s">
        <v>36</v>
      </c>
      <c r="G986" t="s">
        <v>36</v>
      </c>
      <c r="H986" t="s">
        <v>14</v>
      </c>
      <c r="I986" t="s">
        <v>8</v>
      </c>
      <c r="J986">
        <v>7</v>
      </c>
      <c r="K986">
        <v>1550</v>
      </c>
      <c r="L986">
        <v>10850</v>
      </c>
      <c r="M986">
        <v>6074.41</v>
      </c>
      <c r="N986">
        <v>4775.59</v>
      </c>
      <c r="O986" t="str">
        <f>TEXT(Table1[[#This Row],[Order_Date]],"yyy")</f>
        <v>2025</v>
      </c>
    </row>
    <row r="987" spans="1:15" x14ac:dyDescent="0.3">
      <c r="A987" t="s">
        <v>1037</v>
      </c>
      <c r="B987" s="1">
        <v>45872</v>
      </c>
      <c r="C987" t="s">
        <v>3</v>
      </c>
      <c r="D987" t="s">
        <v>31</v>
      </c>
      <c r="E987" t="s">
        <v>4</v>
      </c>
      <c r="F987" t="s">
        <v>32</v>
      </c>
      <c r="G987" t="s">
        <v>32</v>
      </c>
      <c r="H987" t="s">
        <v>14</v>
      </c>
      <c r="I987" t="s">
        <v>15</v>
      </c>
      <c r="J987">
        <v>12</v>
      </c>
      <c r="K987">
        <v>3278</v>
      </c>
      <c r="L987">
        <v>39336</v>
      </c>
      <c r="M987">
        <v>24679.63</v>
      </c>
      <c r="N987">
        <v>14656.37</v>
      </c>
      <c r="O987" t="str">
        <f>TEXT(Table1[[#This Row],[Order_Date]],"yyy")</f>
        <v>2025</v>
      </c>
    </row>
    <row r="988" spans="1:15" x14ac:dyDescent="0.3">
      <c r="A988" t="s">
        <v>1038</v>
      </c>
      <c r="B988" s="1">
        <v>45552</v>
      </c>
      <c r="C988" t="s">
        <v>10</v>
      </c>
      <c r="D988" t="s">
        <v>16</v>
      </c>
      <c r="E988" t="s">
        <v>4</v>
      </c>
      <c r="F988" t="s">
        <v>23</v>
      </c>
      <c r="G988" t="s">
        <v>23</v>
      </c>
      <c r="H988" t="s">
        <v>24</v>
      </c>
      <c r="I988" t="s">
        <v>8</v>
      </c>
      <c r="J988">
        <v>14</v>
      </c>
      <c r="K988">
        <v>1653</v>
      </c>
      <c r="L988">
        <v>23142</v>
      </c>
      <c r="M988">
        <v>17823.310000000001</v>
      </c>
      <c r="N988">
        <v>5318.69</v>
      </c>
      <c r="O988" t="str">
        <f>TEXT(Table1[[#This Row],[Order_Date]],"yyy")</f>
        <v>2024</v>
      </c>
    </row>
    <row r="989" spans="1:15" x14ac:dyDescent="0.3">
      <c r="A989" t="s">
        <v>1039</v>
      </c>
      <c r="B989" s="1">
        <v>45763</v>
      </c>
      <c r="C989" t="s">
        <v>10</v>
      </c>
      <c r="D989" t="s">
        <v>28</v>
      </c>
      <c r="E989" t="s">
        <v>11</v>
      </c>
      <c r="F989" t="s">
        <v>19</v>
      </c>
      <c r="G989" t="s">
        <v>19</v>
      </c>
      <c r="H989" t="s">
        <v>27</v>
      </c>
      <c r="I989" t="s">
        <v>15</v>
      </c>
      <c r="J989">
        <v>15</v>
      </c>
      <c r="K989">
        <v>2680</v>
      </c>
      <c r="L989">
        <v>40200</v>
      </c>
      <c r="M989">
        <v>32115.759999999998</v>
      </c>
      <c r="N989">
        <v>8084.24</v>
      </c>
      <c r="O989" t="str">
        <f>TEXT(Table1[[#This Row],[Order_Date]],"yyy")</f>
        <v>2025</v>
      </c>
    </row>
    <row r="990" spans="1:15" x14ac:dyDescent="0.3">
      <c r="A990" t="s">
        <v>1040</v>
      </c>
      <c r="B990" s="1">
        <v>45845</v>
      </c>
      <c r="C990" t="s">
        <v>17</v>
      </c>
      <c r="D990" t="s">
        <v>25</v>
      </c>
      <c r="E990" t="s">
        <v>18</v>
      </c>
      <c r="F990" t="s">
        <v>29</v>
      </c>
      <c r="G990" t="s">
        <v>29</v>
      </c>
      <c r="H990" t="s">
        <v>24</v>
      </c>
      <c r="I990" t="s">
        <v>8</v>
      </c>
      <c r="J990">
        <v>18</v>
      </c>
      <c r="K990">
        <v>234</v>
      </c>
      <c r="L990">
        <v>4212</v>
      </c>
      <c r="M990">
        <v>3476.04</v>
      </c>
      <c r="N990">
        <v>735.96</v>
      </c>
      <c r="O990" t="str">
        <f>TEXT(Table1[[#This Row],[Order_Date]],"yyy")</f>
        <v>2025</v>
      </c>
    </row>
    <row r="991" spans="1:15" x14ac:dyDescent="0.3">
      <c r="A991" t="s">
        <v>1041</v>
      </c>
      <c r="B991" s="1">
        <v>45902</v>
      </c>
      <c r="C991" t="s">
        <v>3</v>
      </c>
      <c r="D991" t="s">
        <v>28</v>
      </c>
      <c r="E991" t="s">
        <v>11</v>
      </c>
      <c r="F991" t="s">
        <v>6</v>
      </c>
      <c r="G991" t="s">
        <v>6</v>
      </c>
      <c r="H991" t="s">
        <v>27</v>
      </c>
      <c r="I991" t="s">
        <v>8</v>
      </c>
      <c r="J991">
        <v>13</v>
      </c>
      <c r="K991">
        <v>634</v>
      </c>
      <c r="L991">
        <v>8242</v>
      </c>
      <c r="M991">
        <v>6901.94</v>
      </c>
      <c r="N991">
        <v>1340.06</v>
      </c>
      <c r="O991" t="str">
        <f>TEXT(Table1[[#This Row],[Order_Date]],"yyy")</f>
        <v>2025</v>
      </c>
    </row>
    <row r="992" spans="1:15" x14ac:dyDescent="0.3">
      <c r="A992" t="s">
        <v>1042</v>
      </c>
      <c r="B992" s="1">
        <v>45461</v>
      </c>
      <c r="C992" t="s">
        <v>17</v>
      </c>
      <c r="D992" t="s">
        <v>21</v>
      </c>
      <c r="E992" t="s">
        <v>18</v>
      </c>
      <c r="F992" t="s">
        <v>29</v>
      </c>
      <c r="G992" t="s">
        <v>29</v>
      </c>
      <c r="H992" t="s">
        <v>33</v>
      </c>
      <c r="I992" t="s">
        <v>8</v>
      </c>
      <c r="J992">
        <v>7</v>
      </c>
      <c r="K992">
        <v>1989</v>
      </c>
      <c r="L992">
        <v>13923</v>
      </c>
      <c r="M992">
        <v>8494.36</v>
      </c>
      <c r="N992">
        <v>5428.64</v>
      </c>
      <c r="O992" t="str">
        <f>TEXT(Table1[[#This Row],[Order_Date]],"yyy")</f>
        <v>2024</v>
      </c>
    </row>
    <row r="993" spans="1:15" x14ac:dyDescent="0.3">
      <c r="A993" t="s">
        <v>1043</v>
      </c>
      <c r="B993" s="1">
        <v>45483</v>
      </c>
      <c r="C993" t="s">
        <v>17</v>
      </c>
      <c r="D993" t="s">
        <v>31</v>
      </c>
      <c r="E993" t="s">
        <v>4</v>
      </c>
      <c r="F993" t="s">
        <v>23</v>
      </c>
      <c r="G993" t="s">
        <v>23</v>
      </c>
      <c r="H993" t="s">
        <v>7</v>
      </c>
      <c r="I993" t="s">
        <v>8</v>
      </c>
      <c r="J993">
        <v>18</v>
      </c>
      <c r="K993">
        <v>1528</v>
      </c>
      <c r="L993">
        <v>27504</v>
      </c>
      <c r="M993">
        <v>22097.46</v>
      </c>
      <c r="N993">
        <v>5406.54</v>
      </c>
      <c r="O993" t="str">
        <f>TEXT(Table1[[#This Row],[Order_Date]],"yyy")</f>
        <v>2024</v>
      </c>
    </row>
    <row r="994" spans="1:15" x14ac:dyDescent="0.3">
      <c r="A994" t="s">
        <v>1044</v>
      </c>
      <c r="B994" s="1">
        <v>45574</v>
      </c>
      <c r="C994" t="s">
        <v>10</v>
      </c>
      <c r="D994" t="s">
        <v>25</v>
      </c>
      <c r="E994" t="s">
        <v>11</v>
      </c>
      <c r="F994" t="s">
        <v>19</v>
      </c>
      <c r="G994" t="s">
        <v>19</v>
      </c>
      <c r="H994" t="s">
        <v>33</v>
      </c>
      <c r="I994" t="s">
        <v>15</v>
      </c>
      <c r="J994">
        <v>4</v>
      </c>
      <c r="K994">
        <v>132</v>
      </c>
      <c r="L994">
        <v>528</v>
      </c>
      <c r="M994">
        <v>349.35</v>
      </c>
      <c r="N994">
        <v>178.65</v>
      </c>
      <c r="O994" t="str">
        <f>TEXT(Table1[[#This Row],[Order_Date]],"yyy")</f>
        <v>2024</v>
      </c>
    </row>
    <row r="995" spans="1:15" x14ac:dyDescent="0.3">
      <c r="A995" t="s">
        <v>1045</v>
      </c>
      <c r="B995" s="1">
        <v>45670</v>
      </c>
      <c r="C995" t="s">
        <v>10</v>
      </c>
      <c r="D995" t="s">
        <v>25</v>
      </c>
      <c r="E995" t="s">
        <v>11</v>
      </c>
      <c r="F995" t="s">
        <v>6</v>
      </c>
      <c r="G995" t="s">
        <v>6</v>
      </c>
      <c r="H995" t="s">
        <v>24</v>
      </c>
      <c r="I995" t="s">
        <v>8</v>
      </c>
      <c r="J995">
        <v>18</v>
      </c>
      <c r="K995">
        <v>2307</v>
      </c>
      <c r="L995">
        <v>41526</v>
      </c>
      <c r="M995">
        <v>29370.6</v>
      </c>
      <c r="N995">
        <v>12155.4</v>
      </c>
      <c r="O995" t="str">
        <f>TEXT(Table1[[#This Row],[Order_Date]],"yyy")</f>
        <v>2025</v>
      </c>
    </row>
    <row r="996" spans="1:15" x14ac:dyDescent="0.3">
      <c r="A996" t="s">
        <v>1046</v>
      </c>
      <c r="B996" s="1">
        <v>45641</v>
      </c>
      <c r="C996" t="s">
        <v>3</v>
      </c>
      <c r="D996" t="s">
        <v>21</v>
      </c>
      <c r="E996" t="s">
        <v>18</v>
      </c>
      <c r="F996" t="s">
        <v>34</v>
      </c>
      <c r="G996" t="s">
        <v>34</v>
      </c>
      <c r="H996" t="s">
        <v>35</v>
      </c>
      <c r="I996" t="s">
        <v>15</v>
      </c>
      <c r="J996">
        <v>18</v>
      </c>
      <c r="K996">
        <v>2244</v>
      </c>
      <c r="L996">
        <v>40392</v>
      </c>
      <c r="M996">
        <v>28468.63</v>
      </c>
      <c r="N996">
        <v>11923.37</v>
      </c>
      <c r="O996" t="str">
        <f>TEXT(Table1[[#This Row],[Order_Date]],"yyy")</f>
        <v>2024</v>
      </c>
    </row>
    <row r="997" spans="1:15" x14ac:dyDescent="0.3">
      <c r="A997" t="s">
        <v>1047</v>
      </c>
      <c r="B997" s="1">
        <v>45671</v>
      </c>
      <c r="C997" t="s">
        <v>22</v>
      </c>
      <c r="D997" t="s">
        <v>9</v>
      </c>
      <c r="E997" t="s">
        <v>11</v>
      </c>
      <c r="F997" t="s">
        <v>19</v>
      </c>
      <c r="G997" t="s">
        <v>19</v>
      </c>
      <c r="H997" t="s">
        <v>30</v>
      </c>
      <c r="I997" t="s">
        <v>15</v>
      </c>
      <c r="J997">
        <v>12</v>
      </c>
      <c r="K997">
        <v>342</v>
      </c>
      <c r="L997">
        <v>4104</v>
      </c>
      <c r="M997">
        <v>2419.09</v>
      </c>
      <c r="N997">
        <v>1684.91</v>
      </c>
      <c r="O997" t="str">
        <f>TEXT(Table1[[#This Row],[Order_Date]],"yyy")</f>
        <v>2025</v>
      </c>
    </row>
    <row r="998" spans="1:15" x14ac:dyDescent="0.3">
      <c r="A998" t="s">
        <v>1048</v>
      </c>
      <c r="B998" s="1">
        <v>45596</v>
      </c>
      <c r="C998" t="s">
        <v>22</v>
      </c>
      <c r="D998" t="s">
        <v>31</v>
      </c>
      <c r="E998" t="s">
        <v>11</v>
      </c>
      <c r="F998" t="s">
        <v>19</v>
      </c>
      <c r="G998" t="s">
        <v>19</v>
      </c>
      <c r="H998" t="s">
        <v>24</v>
      </c>
      <c r="I998" t="s">
        <v>8</v>
      </c>
      <c r="J998">
        <v>13</v>
      </c>
      <c r="K998">
        <v>3792</v>
      </c>
      <c r="L998">
        <v>49296</v>
      </c>
      <c r="M998">
        <v>33141.56</v>
      </c>
      <c r="N998">
        <v>16154.44</v>
      </c>
      <c r="O998" t="str">
        <f>TEXT(Table1[[#This Row],[Order_Date]],"yyy")</f>
        <v>2024</v>
      </c>
    </row>
    <row r="999" spans="1:15" x14ac:dyDescent="0.3">
      <c r="A999" t="s">
        <v>1049</v>
      </c>
      <c r="B999" s="1">
        <v>45928</v>
      </c>
      <c r="C999" t="s">
        <v>10</v>
      </c>
      <c r="D999" t="s">
        <v>21</v>
      </c>
      <c r="E999" t="s">
        <v>18</v>
      </c>
      <c r="F999" t="s">
        <v>34</v>
      </c>
      <c r="G999" t="s">
        <v>34</v>
      </c>
      <c r="H999" t="s">
        <v>20</v>
      </c>
      <c r="I999" t="s">
        <v>8</v>
      </c>
      <c r="J999">
        <v>10</v>
      </c>
      <c r="K999">
        <v>4210</v>
      </c>
      <c r="L999">
        <v>42100</v>
      </c>
      <c r="M999">
        <v>33014.31</v>
      </c>
      <c r="N999">
        <v>9085.69</v>
      </c>
      <c r="O999" t="str">
        <f>TEXT(Table1[[#This Row],[Order_Date]],"yyy")</f>
        <v>2025</v>
      </c>
    </row>
    <row r="1000" spans="1:15" x14ac:dyDescent="0.3">
      <c r="A1000" t="s">
        <v>1050</v>
      </c>
      <c r="B1000" s="1">
        <v>45991</v>
      </c>
      <c r="C1000" t="s">
        <v>22</v>
      </c>
      <c r="D1000" t="s">
        <v>28</v>
      </c>
      <c r="E1000" t="s">
        <v>4</v>
      </c>
      <c r="F1000" t="s">
        <v>23</v>
      </c>
      <c r="G1000" t="s">
        <v>23</v>
      </c>
      <c r="H1000" t="s">
        <v>14</v>
      </c>
      <c r="I1000" t="s">
        <v>8</v>
      </c>
      <c r="J1000">
        <v>12</v>
      </c>
      <c r="K1000">
        <v>589</v>
      </c>
      <c r="L1000">
        <v>7068</v>
      </c>
      <c r="M1000">
        <v>5759.57</v>
      </c>
      <c r="N1000">
        <v>1308.43</v>
      </c>
      <c r="O1000" t="str">
        <f>TEXT(Table1[[#This Row],[Order_Date]],"yyy")</f>
        <v>2025</v>
      </c>
    </row>
    <row r="1001" spans="1:15" x14ac:dyDescent="0.3">
      <c r="A1001" t="s">
        <v>1051</v>
      </c>
      <c r="B1001" s="1">
        <v>45837</v>
      </c>
      <c r="C1001" t="s">
        <v>17</v>
      </c>
      <c r="D1001" t="s">
        <v>9</v>
      </c>
      <c r="E1001" t="s">
        <v>11</v>
      </c>
      <c r="F1001" t="s">
        <v>6</v>
      </c>
      <c r="G1001" t="s">
        <v>6</v>
      </c>
      <c r="H1001" t="s">
        <v>35</v>
      </c>
      <c r="I1001" t="s">
        <v>15</v>
      </c>
      <c r="J1001">
        <v>10</v>
      </c>
      <c r="K1001">
        <v>2380</v>
      </c>
      <c r="L1001">
        <v>23800</v>
      </c>
      <c r="M1001">
        <v>18350.990000000002</v>
      </c>
      <c r="N1001">
        <v>5449.01</v>
      </c>
      <c r="O1001" t="str">
        <f>TEXT(Table1[[#This Row],[Order_Date]],"yyy")</f>
        <v>2025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workbookViewId="0">
      <selection activeCell="T17" sqref="T17"/>
    </sheetView>
  </sheetViews>
  <sheetFormatPr defaultRowHeight="14.4" x14ac:dyDescent="0.3"/>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Sales_Data</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Sandeep Chaurasiya</cp:lastModifiedBy>
  <cp:revision/>
  <dcterms:created xsi:type="dcterms:W3CDTF">2026-06-18T07:19:54Z</dcterms:created>
  <dcterms:modified xsi:type="dcterms:W3CDTF">2026-06-25T15:24:48Z</dcterms:modified>
  <cp:category/>
  <cp:contentStatus/>
</cp:coreProperties>
</file>